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za\My Software Projects\CodexProjects\codex_som_vau_financials\data\current\"/>
    </mc:Choice>
  </mc:AlternateContent>
  <xr:revisionPtr revIDLastSave="0" documentId="11_C16DCE8AB1C31AA3250F7C01019C1C2D6A5EF03F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C134" i="1" s="1"/>
  <c r="B6" i="1"/>
  <c r="B134" i="1" s="1"/>
</calcChain>
</file>

<file path=xl/sharedStrings.xml><?xml version="1.0" encoding="utf-8"?>
<sst xmlns="http://schemas.openxmlformats.org/spreadsheetml/2006/main" count="135" uniqueCount="135">
  <si>
    <t>Debit</t>
  </si>
  <si>
    <t>Credit</t>
  </si>
  <si>
    <t>1000 RBC Checking</t>
  </si>
  <si>
    <t>1010 GIC Account Holdings</t>
  </si>
  <si>
    <t>1050 Petty Cash</t>
  </si>
  <si>
    <t>1003 Advance Deposit</t>
  </si>
  <si>
    <t>1051 IG+RBC-DI - Investment Account</t>
  </si>
  <si>
    <t>1055 Deferred Charges</t>
  </si>
  <si>
    <t>1065 Unrealized Gains/Losses</t>
  </si>
  <si>
    <t>1095 Uncategorized Asset</t>
  </si>
  <si>
    <t>1099 Undeposited Funds</t>
  </si>
  <si>
    <t>1303 Prepaid Royalty Fees</t>
  </si>
  <si>
    <t>1304 Prepaid Franchise Fees</t>
  </si>
  <si>
    <t>1004 Franchise Fees (Eligible Capital Property)</t>
  </si>
  <si>
    <t>1005 Computer Equipment &amp; Software</t>
  </si>
  <si>
    <t>1006 Capital Asset</t>
  </si>
  <si>
    <t>1003.1 Capital Asset:Leasehold Improvements</t>
  </si>
  <si>
    <t>1007 Acc. Amort. Leasehold Improveme</t>
  </si>
  <si>
    <t>1305 Furniture and equipment</t>
  </si>
  <si>
    <t>1310 Accum. amorti - F&amp;F</t>
  </si>
  <si>
    <t>1325 Accum. amortization - computer</t>
  </si>
  <si>
    <t>1210 Accu. Amort. Franchise Fee (Eligible Capital Property)</t>
  </si>
  <si>
    <t>2010 Account payable</t>
  </si>
  <si>
    <t>2003 RBC-VAU-Visa-CC</t>
  </si>
  <si>
    <t>2006 TD AEROPLAN VISA INFINITE</t>
  </si>
  <si>
    <t>RBC Avion Visa Business(1411)</t>
  </si>
  <si>
    <t>2020 Deferred Revenue</t>
  </si>
  <si>
    <t>2105 Royalty Fee Payable</t>
  </si>
  <si>
    <t>2360 Corporate income tax payab</t>
  </si>
  <si>
    <t>2900 Shareholder's Advance</t>
  </si>
  <si>
    <t>2901 Shareholder's Advance:Ramzan Khuwaja</t>
  </si>
  <si>
    <t>2902 Shareholder's Advance:Farah Khuwaja</t>
  </si>
  <si>
    <t>2950 CEBA  (Govt Loan)</t>
  </si>
  <si>
    <t>1052 CREDIT Cash</t>
  </si>
  <si>
    <t>3000 Share Capital</t>
  </si>
  <si>
    <t>3001 Opening Bal Equity</t>
  </si>
  <si>
    <t>3900 Retained Earnings</t>
  </si>
  <si>
    <t>3905 Partner Distributions</t>
  </si>
  <si>
    <t>3915 Dividends (Capital)</t>
  </si>
  <si>
    <t>4100 Tuition</t>
  </si>
  <si>
    <t>4104 Registration Fee</t>
  </si>
  <si>
    <t>4110 Other income - CEBA</t>
  </si>
  <si>
    <t>4110.1 Other income - CEBA:Canada Carbon Rebate</t>
  </si>
  <si>
    <t>4900 Interest Income</t>
  </si>
  <si>
    <t>8025 Investment income</t>
  </si>
  <si>
    <t>5001 Cost of Goods Sold:Student Graduation</t>
  </si>
  <si>
    <t>5100 Materials and Supplies</t>
  </si>
  <si>
    <t>5211 .Payroll Expense:Wages</t>
  </si>
  <si>
    <t>5211.1 .Payroll Expense:Wages:Teachers</t>
  </si>
  <si>
    <t>5212 .Payroll Expense:CPP Expense</t>
  </si>
  <si>
    <t>5213 .Payroll Expense:EI Expense</t>
  </si>
  <si>
    <t>5215 .Payroll Expense:Employee Benefits</t>
  </si>
  <si>
    <t>5217 .Payroll Expense:WSIB Expense</t>
  </si>
  <si>
    <t>5219 .Payroll Expense:FED.TAX</t>
  </si>
  <si>
    <t>5300 Teacher and CAA training</t>
  </si>
  <si>
    <t>5300.1 Teacher and CAA training:SMS Conference</t>
  </si>
  <si>
    <t>5300.2 Teacher and CAA training:(e)Books</t>
  </si>
  <si>
    <t>5300.3 Teacher and CAA training:Online Training</t>
  </si>
  <si>
    <t>5875 Teacher and CAA training:Teacher training</t>
  </si>
  <si>
    <t>5410 Subcontract</t>
  </si>
  <si>
    <t>5500.1 Credit Card Fees:FirstData-Merchant Services</t>
  </si>
  <si>
    <t>5500.3 Credit Card Fees:CC charges</t>
  </si>
  <si>
    <t>5605 Rent:9135 Keele Street, Unit B3/B4</t>
  </si>
  <si>
    <t>5710 Royalty fee</t>
  </si>
  <si>
    <t>5710.2 Royalty fee:Royalty fee - Inperson</t>
  </si>
  <si>
    <t>5780 Student Handouts</t>
  </si>
  <si>
    <t>5780.1 Student Handouts:Shipping, Freight and Delivery - COS</t>
  </si>
  <si>
    <t>5785 Teaching Supplies</t>
  </si>
  <si>
    <t>5411 Tuition Refunds</t>
  </si>
  <si>
    <t>6110 Professional Fees</t>
  </si>
  <si>
    <t>6114 Professional Fees:Payroll Processing (Ceridian)</t>
  </si>
  <si>
    <t>6115 Professional Fees:Legal Expense</t>
  </si>
  <si>
    <t>6116 Professional Fees:Accounting Fees</t>
  </si>
  <si>
    <t>6117 Professional Fees:Bookkeeping Fees</t>
  </si>
  <si>
    <t>6119 Professional Fees:HR Profiles/Recruitment</t>
  </si>
  <si>
    <t>6120 Professional Fees:Cleaning Service</t>
  </si>
  <si>
    <t>6200 Marketing/Advertising/Promotion</t>
  </si>
  <si>
    <t>6201 Marketing/Advertising/Promotion:Marketing Material</t>
  </si>
  <si>
    <t>6201.2 Marketing/Advertising/Promotion:FTC</t>
  </si>
  <si>
    <t>6202 Marketing/Advertising/Promotion:Space Rental</t>
  </si>
  <si>
    <t>6203 Marketing/Advertising/Promotion:Mailing</t>
  </si>
  <si>
    <t>6204 Marketing/Advertising/Promotion:Mobile Sign</t>
  </si>
  <si>
    <t>6205 Marketing/Advertising/Promotion:Kiosk Rental</t>
  </si>
  <si>
    <t>6206 Marketing/Advertising/Promotion:Event Sponsorship</t>
  </si>
  <si>
    <t>6207 Marketing/Advertising/Promotion:Online Ads</t>
  </si>
  <si>
    <t>6208 Marketing/Advertising/Promotion:Print Media</t>
  </si>
  <si>
    <t>6230 Non-SMS Competition Expense</t>
  </si>
  <si>
    <t>6250 Amortization/Depreciation expense </t>
  </si>
  <si>
    <t>6255 Amortization of franchise fee</t>
  </si>
  <si>
    <t>6260 Donations</t>
  </si>
  <si>
    <t>6300 Automobile costs</t>
  </si>
  <si>
    <t>6302 Automobile costs:Car fuel</t>
  </si>
  <si>
    <t>6309 Automobile costs:Other Travel Cost</t>
  </si>
  <si>
    <t>6401 Office/Campus Expenses</t>
  </si>
  <si>
    <t>6401.1 Office/Campus Expenses:Campus Supplies</t>
  </si>
  <si>
    <t>6401.10 Office/Campus Expenses:Misc. Expanses</t>
  </si>
  <si>
    <t>6401.11 Office/Campus Expenses:SMS Supplies - Student</t>
  </si>
  <si>
    <t>6401.12 Office/Campus Expenses:SMS Supplies - Campus</t>
  </si>
  <si>
    <t>6401.13 Office/Campus Expenses:Campus Equipment</t>
  </si>
  <si>
    <t>6401.15 Office/Campus Expenses:Gifts</t>
  </si>
  <si>
    <t>6401.2 Office/Campus Expenses:Printer Supplies</t>
  </si>
  <si>
    <t>6401.3 Office/Campus Expenses:Office Supplies</t>
  </si>
  <si>
    <t>6401.4 Office/Campus Expenses:Office Equipments</t>
  </si>
  <si>
    <t>6401.5 Office/Campus Expenses:Photocopying</t>
  </si>
  <si>
    <t>6401.8 Office/Campus Expenses:Teaching Supplies</t>
  </si>
  <si>
    <t>6405 IT Expense</t>
  </si>
  <si>
    <t>6405.1 IT Expense:Hardware</t>
  </si>
  <si>
    <t>6405.5 IT Expense:Computer Expense - Other</t>
  </si>
  <si>
    <t>6405.9 IT Expense:Monthly service fee</t>
  </si>
  <si>
    <t>6406 IT Expense:Software Expense</t>
  </si>
  <si>
    <t>6420 Finance charges</t>
  </si>
  <si>
    <t>6420.1 Finance charges:Bank charges</t>
  </si>
  <si>
    <t>6420.2 Finance charges:Interest expense - bank</t>
  </si>
  <si>
    <t>6550 Fees and licences</t>
  </si>
  <si>
    <t>6600 Insurance</t>
  </si>
  <si>
    <t>6615 Events Expense</t>
  </si>
  <si>
    <t>6650 Meals &amp; entertainment</t>
  </si>
  <si>
    <t>6690 Office @ home</t>
  </si>
  <si>
    <t>6700 Business Phone</t>
  </si>
  <si>
    <t>6701 Health &amp; Safety</t>
  </si>
  <si>
    <t>6710 Utilities</t>
  </si>
  <si>
    <t>6711 Security Services</t>
  </si>
  <si>
    <t>6715 Repairs and maintenance</t>
  </si>
  <si>
    <t>6720 Travel Expense (meetings, etc.)</t>
  </si>
  <si>
    <t>6935 Corporate Tax Expense</t>
  </si>
  <si>
    <t>8010 Investment Management Fees</t>
  </si>
  <si>
    <t>8045 Foreign Taxes</t>
  </si>
  <si>
    <t>8005 Dividend income</t>
  </si>
  <si>
    <t>8026 Capital gain</t>
  </si>
  <si>
    <t>8040 Other Investment Income</t>
  </si>
  <si>
    <t>TOTAL</t>
  </si>
  <si>
    <t>Thursday, Apr. 09, 2026 06:53:02 p.m. GMT-7 - Accrual Basis</t>
  </si>
  <si>
    <t>Spirit of Math Schools Vaughan</t>
  </si>
  <si>
    <t>Trial Balance</t>
  </si>
  <si>
    <t>As of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</si>
</sst>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selection activeCell="H15" sqref="H15"/>
    </sheetView>
  </sheetViews>
  <sheetFormatPr defaultRowHeight="14.6" x14ac:dyDescent="0.4"/>
  <cols>
    <col min="1" max="1" width="52.3828125" customWidth="1"/>
    <col min="2" max="3" width="18.07421875" customWidth="1"/>
  </cols>
  <sheetData>
    <row r="1" spans="1:3" ht="17.600000000000001" x14ac:dyDescent="0.4">
      <c r="A1" s="9" t="s">
        <v>132</v>
      </c>
      <c r="B1" s="8"/>
      <c r="C1" s="8"/>
    </row>
    <row r="2" spans="1:3" ht="17.600000000000001" x14ac:dyDescent="0.4">
      <c r="A2" s="9" t="s">
        <v>133</v>
      </c>
      <c r="B2" s="8"/>
      <c r="C2" s="8"/>
    </row>
    <row r="3" spans="1:3" x14ac:dyDescent="0.4">
      <c r="A3" s="10" t="s">
        <v>134</v>
      </c>
      <c r="B3" s="8"/>
      <c r="C3" s="8"/>
    </row>
    <row r="5" spans="1:3" x14ac:dyDescent="0.4">
      <c r="A5" s="1"/>
      <c r="B5" s="2" t="s">
        <v>0</v>
      </c>
      <c r="C5" s="2" t="s">
        <v>1</v>
      </c>
    </row>
    <row r="6" spans="1:3" x14ac:dyDescent="0.4">
      <c r="A6" s="3" t="s">
        <v>2</v>
      </c>
      <c r="B6" s="4">
        <f>144901.89</f>
        <v>144901.89000000001</v>
      </c>
      <c r="C6" s="4">
        <f>0</f>
        <v>0</v>
      </c>
    </row>
    <row r="7" spans="1:3" x14ac:dyDescent="0.4">
      <c r="A7" s="3" t="s">
        <v>3</v>
      </c>
      <c r="B7" s="4">
        <f>0</f>
        <v>0</v>
      </c>
      <c r="C7" s="4">
        <f>0</f>
        <v>0</v>
      </c>
    </row>
    <row r="8" spans="1:3" x14ac:dyDescent="0.4">
      <c r="A8" s="3" t="s">
        <v>4</v>
      </c>
      <c r="B8" s="4">
        <f>1459.72</f>
        <v>1459.72</v>
      </c>
      <c r="C8" s="4">
        <f>0</f>
        <v>0</v>
      </c>
    </row>
    <row r="9" spans="1:3" x14ac:dyDescent="0.4">
      <c r="A9" s="3" t="s">
        <v>5</v>
      </c>
      <c r="B9" s="4">
        <f>9308.13</f>
        <v>9308.1299999999992</v>
      </c>
      <c r="C9" s="4">
        <f>0</f>
        <v>0</v>
      </c>
    </row>
    <row r="10" spans="1:3" x14ac:dyDescent="0.4">
      <c r="A10" s="3" t="s">
        <v>6</v>
      </c>
      <c r="B10" s="4">
        <f>2355060.69</f>
        <v>2355060.69</v>
      </c>
      <c r="C10" s="4">
        <f>0</f>
        <v>0</v>
      </c>
    </row>
    <row r="11" spans="1:3" x14ac:dyDescent="0.4">
      <c r="A11" s="3" t="s">
        <v>7</v>
      </c>
      <c r="B11" s="4">
        <f>0</f>
        <v>0</v>
      </c>
      <c r="C11" s="4">
        <f>0</f>
        <v>0</v>
      </c>
    </row>
    <row r="12" spans="1:3" x14ac:dyDescent="0.4">
      <c r="A12" s="3" t="s">
        <v>8</v>
      </c>
      <c r="B12" s="4">
        <f>0</f>
        <v>0</v>
      </c>
      <c r="C12" s="4">
        <f>542381.53</f>
        <v>542381.53</v>
      </c>
    </row>
    <row r="13" spans="1:3" x14ac:dyDescent="0.4">
      <c r="A13" s="3" t="s">
        <v>9</v>
      </c>
      <c r="B13" s="4">
        <f>0</f>
        <v>0</v>
      </c>
      <c r="C13" s="4">
        <f>0</f>
        <v>0</v>
      </c>
    </row>
    <row r="14" spans="1:3" x14ac:dyDescent="0.4">
      <c r="A14" s="3" t="s">
        <v>10</v>
      </c>
      <c r="B14" s="4">
        <f>0</f>
        <v>0</v>
      </c>
      <c r="C14" s="4">
        <f>0</f>
        <v>0</v>
      </c>
    </row>
    <row r="15" spans="1:3" x14ac:dyDescent="0.4">
      <c r="A15" s="3" t="s">
        <v>11</v>
      </c>
      <c r="B15" s="4">
        <f>18925.55</f>
        <v>18925.55</v>
      </c>
      <c r="C15" s="4">
        <f>0</f>
        <v>0</v>
      </c>
    </row>
    <row r="16" spans="1:3" x14ac:dyDescent="0.4">
      <c r="A16" s="3" t="s">
        <v>12</v>
      </c>
      <c r="B16" s="4">
        <f>0</f>
        <v>0</v>
      </c>
      <c r="C16" s="4">
        <f>0</f>
        <v>0</v>
      </c>
    </row>
    <row r="17" spans="1:3" x14ac:dyDescent="0.4">
      <c r="A17" s="3" t="s">
        <v>13</v>
      </c>
      <c r="B17" s="4">
        <f>56865</f>
        <v>56865</v>
      </c>
      <c r="C17" s="4">
        <f>0</f>
        <v>0</v>
      </c>
    </row>
    <row r="18" spans="1:3" x14ac:dyDescent="0.4">
      <c r="A18" s="3" t="s">
        <v>14</v>
      </c>
      <c r="B18" s="4">
        <f>62788.64</f>
        <v>62788.639999999999</v>
      </c>
      <c r="C18" s="4">
        <f>0</f>
        <v>0</v>
      </c>
    </row>
    <row r="19" spans="1:3" x14ac:dyDescent="0.4">
      <c r="A19" s="3" t="s">
        <v>15</v>
      </c>
      <c r="B19" s="4">
        <f>0</f>
        <v>0</v>
      </c>
      <c r="C19" s="4">
        <f>0</f>
        <v>0</v>
      </c>
    </row>
    <row r="20" spans="1:3" x14ac:dyDescent="0.4">
      <c r="A20" s="3" t="s">
        <v>16</v>
      </c>
      <c r="B20" s="4">
        <f>337826.41</f>
        <v>337826.41</v>
      </c>
      <c r="C20" s="4">
        <f>0</f>
        <v>0</v>
      </c>
    </row>
    <row r="21" spans="1:3" x14ac:dyDescent="0.4">
      <c r="A21" s="3" t="s">
        <v>17</v>
      </c>
      <c r="B21" s="4">
        <f>0</f>
        <v>0</v>
      </c>
      <c r="C21" s="4">
        <f>300581</f>
        <v>300581</v>
      </c>
    </row>
    <row r="22" spans="1:3" x14ac:dyDescent="0.4">
      <c r="A22" s="3" t="s">
        <v>18</v>
      </c>
      <c r="B22" s="4">
        <f>39258.2</f>
        <v>39258.199999999997</v>
      </c>
      <c r="C22" s="4">
        <f>0</f>
        <v>0</v>
      </c>
    </row>
    <row r="23" spans="1:3" x14ac:dyDescent="0.4">
      <c r="A23" s="3" t="s">
        <v>19</v>
      </c>
      <c r="B23" s="4">
        <f>0</f>
        <v>0</v>
      </c>
      <c r="C23" s="4">
        <f>29805.31</f>
        <v>29805.31</v>
      </c>
    </row>
    <row r="24" spans="1:3" x14ac:dyDescent="0.4">
      <c r="A24" s="3" t="s">
        <v>20</v>
      </c>
      <c r="B24" s="4">
        <f>0</f>
        <v>0</v>
      </c>
      <c r="C24" s="4">
        <f>57521.3</f>
        <v>57521.3</v>
      </c>
    </row>
    <row r="25" spans="1:3" x14ac:dyDescent="0.4">
      <c r="A25" s="3" t="s">
        <v>21</v>
      </c>
      <c r="B25" s="4">
        <f>0</f>
        <v>0</v>
      </c>
      <c r="C25" s="4">
        <f>43087</f>
        <v>43087</v>
      </c>
    </row>
    <row r="26" spans="1:3" x14ac:dyDescent="0.4">
      <c r="A26" s="3" t="s">
        <v>22</v>
      </c>
      <c r="B26" s="4">
        <f>0</f>
        <v>0</v>
      </c>
      <c r="C26" s="4">
        <f>10746.3</f>
        <v>10746.3</v>
      </c>
    </row>
    <row r="27" spans="1:3" x14ac:dyDescent="0.4">
      <c r="A27" s="3" t="s">
        <v>23</v>
      </c>
      <c r="B27" s="4">
        <f>6003.04</f>
        <v>6003.04</v>
      </c>
      <c r="C27" s="4">
        <f>0</f>
        <v>0</v>
      </c>
    </row>
    <row r="28" spans="1:3" x14ac:dyDescent="0.4">
      <c r="A28" s="3" t="s">
        <v>24</v>
      </c>
      <c r="B28" s="4">
        <f>0</f>
        <v>0</v>
      </c>
      <c r="C28" s="4">
        <f>1498.84</f>
        <v>1498.84</v>
      </c>
    </row>
    <row r="29" spans="1:3" x14ac:dyDescent="0.4">
      <c r="A29" s="3" t="s">
        <v>25</v>
      </c>
      <c r="B29" s="4">
        <f>0</f>
        <v>0</v>
      </c>
      <c r="C29" s="4">
        <f>0</f>
        <v>0</v>
      </c>
    </row>
    <row r="30" spans="1:3" x14ac:dyDescent="0.4">
      <c r="A30" s="3" t="s">
        <v>26</v>
      </c>
      <c r="B30" s="4">
        <f>0</f>
        <v>0</v>
      </c>
      <c r="C30" s="4">
        <f>139569</f>
        <v>139569</v>
      </c>
    </row>
    <row r="31" spans="1:3" x14ac:dyDescent="0.4">
      <c r="A31" s="3" t="s">
        <v>27</v>
      </c>
      <c r="B31" s="4">
        <f>0</f>
        <v>0</v>
      </c>
      <c r="C31" s="4">
        <f>0</f>
        <v>0</v>
      </c>
    </row>
    <row r="32" spans="1:3" x14ac:dyDescent="0.4">
      <c r="A32" s="3" t="s">
        <v>28</v>
      </c>
      <c r="B32" s="4">
        <f>0</f>
        <v>0</v>
      </c>
      <c r="C32" s="4">
        <f>101791</f>
        <v>101791</v>
      </c>
    </row>
    <row r="33" spans="1:3" x14ac:dyDescent="0.4">
      <c r="A33" s="3" t="s">
        <v>29</v>
      </c>
      <c r="B33" s="4">
        <f>0</f>
        <v>0</v>
      </c>
      <c r="C33" s="4">
        <f>60000</f>
        <v>60000</v>
      </c>
    </row>
    <row r="34" spans="1:3" x14ac:dyDescent="0.4">
      <c r="A34" s="3" t="s">
        <v>30</v>
      </c>
      <c r="B34" s="4">
        <f>79560.68</f>
        <v>79560.679999999993</v>
      </c>
      <c r="C34" s="4">
        <f>0</f>
        <v>0</v>
      </c>
    </row>
    <row r="35" spans="1:3" x14ac:dyDescent="0.4">
      <c r="A35" s="3" t="s">
        <v>31</v>
      </c>
      <c r="B35" s="4">
        <f>9811.63</f>
        <v>9811.6299999999992</v>
      </c>
      <c r="C35" s="4">
        <f>0</f>
        <v>0</v>
      </c>
    </row>
    <row r="36" spans="1:3" x14ac:dyDescent="0.4">
      <c r="A36" s="3" t="s">
        <v>32</v>
      </c>
      <c r="B36" s="4">
        <f>0</f>
        <v>0</v>
      </c>
      <c r="C36" s="4">
        <f>0</f>
        <v>0</v>
      </c>
    </row>
    <row r="37" spans="1:3" x14ac:dyDescent="0.4">
      <c r="A37" s="3" t="s">
        <v>33</v>
      </c>
      <c r="B37" s="4">
        <f>0</f>
        <v>0</v>
      </c>
      <c r="C37" s="4">
        <f>0</f>
        <v>0</v>
      </c>
    </row>
    <row r="38" spans="1:3" x14ac:dyDescent="0.4">
      <c r="A38" s="3" t="s">
        <v>34</v>
      </c>
      <c r="B38" s="4">
        <f>0</f>
        <v>0</v>
      </c>
      <c r="C38" s="4">
        <f>100</f>
        <v>100</v>
      </c>
    </row>
    <row r="39" spans="1:3" x14ac:dyDescent="0.4">
      <c r="A39" s="3" t="s">
        <v>35</v>
      </c>
      <c r="B39" s="4">
        <f>0</f>
        <v>0</v>
      </c>
      <c r="C39" s="4">
        <f>0</f>
        <v>0</v>
      </c>
    </row>
    <row r="40" spans="1:3" x14ac:dyDescent="0.4">
      <c r="A40" s="3" t="s">
        <v>36</v>
      </c>
      <c r="B40" s="4">
        <f>0</f>
        <v>0</v>
      </c>
      <c r="C40" s="4">
        <f>1459983.77</f>
        <v>1459983.77</v>
      </c>
    </row>
    <row r="41" spans="1:3" x14ac:dyDescent="0.4">
      <c r="A41" s="3" t="s">
        <v>37</v>
      </c>
      <c r="B41" s="4">
        <f>0</f>
        <v>0</v>
      </c>
      <c r="C41" s="4">
        <f>0</f>
        <v>0</v>
      </c>
    </row>
    <row r="42" spans="1:3" x14ac:dyDescent="0.4">
      <c r="A42" s="3" t="s">
        <v>38</v>
      </c>
      <c r="B42" s="4">
        <f>45895</f>
        <v>45895</v>
      </c>
      <c r="C42" s="4">
        <f>0</f>
        <v>0</v>
      </c>
    </row>
    <row r="43" spans="1:3" x14ac:dyDescent="0.4">
      <c r="A43" s="3" t="s">
        <v>39</v>
      </c>
      <c r="B43" s="4">
        <f>0</f>
        <v>0</v>
      </c>
      <c r="C43" s="4">
        <f>2078642.79</f>
        <v>2078642.79</v>
      </c>
    </row>
    <row r="44" spans="1:3" x14ac:dyDescent="0.4">
      <c r="A44" s="3" t="s">
        <v>40</v>
      </c>
      <c r="B44" s="4">
        <f>360</f>
        <v>360</v>
      </c>
      <c r="C44" s="4">
        <f>0</f>
        <v>0</v>
      </c>
    </row>
    <row r="45" spans="1:3" x14ac:dyDescent="0.4">
      <c r="A45" s="3" t="s">
        <v>41</v>
      </c>
      <c r="B45" s="4">
        <f>65.66</f>
        <v>65.66</v>
      </c>
      <c r="C45" s="4">
        <f>0</f>
        <v>0</v>
      </c>
    </row>
    <row r="46" spans="1:3" x14ac:dyDescent="0.4">
      <c r="A46" s="3" t="s">
        <v>42</v>
      </c>
      <c r="B46" s="4">
        <f>0</f>
        <v>0</v>
      </c>
      <c r="C46" s="4">
        <f>22624.66</f>
        <v>22624.66</v>
      </c>
    </row>
    <row r="47" spans="1:3" x14ac:dyDescent="0.4">
      <c r="A47" s="3" t="s">
        <v>43</v>
      </c>
      <c r="B47" s="4">
        <f>0</f>
        <v>0</v>
      </c>
      <c r="C47" s="4">
        <f>65.66</f>
        <v>65.66</v>
      </c>
    </row>
    <row r="48" spans="1:3" x14ac:dyDescent="0.4">
      <c r="A48" s="3" t="s">
        <v>44</v>
      </c>
      <c r="B48" s="4">
        <f>0</f>
        <v>0</v>
      </c>
      <c r="C48" s="4">
        <f>657.81</f>
        <v>657.81</v>
      </c>
    </row>
    <row r="49" spans="1:3" x14ac:dyDescent="0.4">
      <c r="A49" s="3" t="s">
        <v>45</v>
      </c>
      <c r="B49" s="4">
        <f>954.02</f>
        <v>954.02</v>
      </c>
      <c r="C49" s="4">
        <f>0</f>
        <v>0</v>
      </c>
    </row>
    <row r="50" spans="1:3" x14ac:dyDescent="0.4">
      <c r="A50" s="3" t="s">
        <v>46</v>
      </c>
      <c r="B50" s="4">
        <f>23192.74</f>
        <v>23192.74</v>
      </c>
      <c r="C50" s="4">
        <f>0</f>
        <v>0</v>
      </c>
    </row>
    <row r="51" spans="1:3" x14ac:dyDescent="0.4">
      <c r="A51" s="3" t="s">
        <v>47</v>
      </c>
      <c r="B51" s="4">
        <f>515225.57</f>
        <v>515225.57</v>
      </c>
      <c r="C51" s="4">
        <f>0</f>
        <v>0</v>
      </c>
    </row>
    <row r="52" spans="1:3" x14ac:dyDescent="0.4">
      <c r="A52" s="3" t="s">
        <v>48</v>
      </c>
      <c r="B52" s="4">
        <f>2153.34</f>
        <v>2153.34</v>
      </c>
      <c r="C52" s="4">
        <f>0</f>
        <v>0</v>
      </c>
    </row>
    <row r="53" spans="1:3" x14ac:dyDescent="0.4">
      <c r="A53" s="3" t="s">
        <v>49</v>
      </c>
      <c r="B53" s="4">
        <f>60827.58</f>
        <v>60827.58</v>
      </c>
      <c r="C53" s="4">
        <f>0</f>
        <v>0</v>
      </c>
    </row>
    <row r="54" spans="1:3" x14ac:dyDescent="0.4">
      <c r="A54" s="3" t="s">
        <v>50</v>
      </c>
      <c r="B54" s="4">
        <f>23905.02</f>
        <v>23905.02</v>
      </c>
      <c r="C54" s="4">
        <f>0</f>
        <v>0</v>
      </c>
    </row>
    <row r="55" spans="1:3" x14ac:dyDescent="0.4">
      <c r="A55" s="3" t="s">
        <v>51</v>
      </c>
      <c r="B55" s="4">
        <f>4464.24</f>
        <v>4464.24</v>
      </c>
      <c r="C55" s="4">
        <f>0</f>
        <v>0</v>
      </c>
    </row>
    <row r="56" spans="1:3" x14ac:dyDescent="0.4">
      <c r="A56" s="3" t="s">
        <v>52</v>
      </c>
      <c r="B56" s="4">
        <f>2242.64</f>
        <v>2242.64</v>
      </c>
      <c r="C56" s="4">
        <f>0</f>
        <v>0</v>
      </c>
    </row>
    <row r="57" spans="1:3" x14ac:dyDescent="0.4">
      <c r="A57" s="3" t="s">
        <v>53</v>
      </c>
      <c r="B57" s="4">
        <f>75384.08</f>
        <v>75384.08</v>
      </c>
      <c r="C57" s="4">
        <f>0</f>
        <v>0</v>
      </c>
    </row>
    <row r="58" spans="1:3" x14ac:dyDescent="0.4">
      <c r="A58" s="3" t="s">
        <v>54</v>
      </c>
      <c r="B58" s="4">
        <f>2555.6</f>
        <v>2555.6</v>
      </c>
      <c r="C58" s="4">
        <f>0</f>
        <v>0</v>
      </c>
    </row>
    <row r="59" spans="1:3" x14ac:dyDescent="0.4">
      <c r="A59" s="3" t="s">
        <v>55</v>
      </c>
      <c r="B59" s="4">
        <f>4830.75</f>
        <v>4830.75</v>
      </c>
      <c r="C59" s="4">
        <f>0</f>
        <v>0</v>
      </c>
    </row>
    <row r="60" spans="1:3" x14ac:dyDescent="0.4">
      <c r="A60" s="3" t="s">
        <v>56</v>
      </c>
      <c r="B60" s="4">
        <f>2698.91</f>
        <v>2698.91</v>
      </c>
      <c r="C60" s="4">
        <f>0</f>
        <v>0</v>
      </c>
    </row>
    <row r="61" spans="1:3" x14ac:dyDescent="0.4">
      <c r="A61" s="3" t="s">
        <v>57</v>
      </c>
      <c r="B61" s="4">
        <f>456.84</f>
        <v>456.84</v>
      </c>
      <c r="C61" s="4">
        <f>0</f>
        <v>0</v>
      </c>
    </row>
    <row r="62" spans="1:3" x14ac:dyDescent="0.4">
      <c r="A62" s="3" t="s">
        <v>58</v>
      </c>
      <c r="B62" s="4">
        <f>3009.62</f>
        <v>3009.62</v>
      </c>
      <c r="C62" s="4">
        <f>0</f>
        <v>0</v>
      </c>
    </row>
    <row r="63" spans="1:3" x14ac:dyDescent="0.4">
      <c r="A63" s="3" t="s">
        <v>59</v>
      </c>
      <c r="B63" s="4">
        <f>400</f>
        <v>400</v>
      </c>
      <c r="C63" s="4">
        <f>0</f>
        <v>0</v>
      </c>
    </row>
    <row r="64" spans="1:3" x14ac:dyDescent="0.4">
      <c r="A64" s="3" t="s">
        <v>60</v>
      </c>
      <c r="B64" s="4">
        <f>27002.4</f>
        <v>27002.400000000001</v>
      </c>
      <c r="C64" s="4">
        <f>0</f>
        <v>0</v>
      </c>
    </row>
    <row r="65" spans="1:3" x14ac:dyDescent="0.4">
      <c r="A65" s="3" t="s">
        <v>61</v>
      </c>
      <c r="B65" s="4">
        <f>229</f>
        <v>229</v>
      </c>
      <c r="C65" s="4">
        <f>0</f>
        <v>0</v>
      </c>
    </row>
    <row r="66" spans="1:3" x14ac:dyDescent="0.4">
      <c r="A66" s="3" t="s">
        <v>62</v>
      </c>
      <c r="B66" s="4">
        <f>117750.35</f>
        <v>117750.35</v>
      </c>
      <c r="C66" s="4">
        <f>0</f>
        <v>0</v>
      </c>
    </row>
    <row r="67" spans="1:3" x14ac:dyDescent="0.4">
      <c r="A67" s="3" t="s">
        <v>63</v>
      </c>
      <c r="B67" s="4">
        <f>180534.22</f>
        <v>180534.22</v>
      </c>
      <c r="C67" s="4">
        <f>0</f>
        <v>0</v>
      </c>
    </row>
    <row r="68" spans="1:3" x14ac:dyDescent="0.4">
      <c r="A68" s="3" t="s">
        <v>64</v>
      </c>
      <c r="B68" s="4">
        <f>99570.73</f>
        <v>99570.73</v>
      </c>
      <c r="C68" s="4">
        <f>0</f>
        <v>0</v>
      </c>
    </row>
    <row r="69" spans="1:3" x14ac:dyDescent="0.4">
      <c r="A69" s="3" t="s">
        <v>65</v>
      </c>
      <c r="B69" s="4">
        <f>55755.29</f>
        <v>55755.29</v>
      </c>
      <c r="C69" s="4">
        <f>0</f>
        <v>0</v>
      </c>
    </row>
    <row r="70" spans="1:3" x14ac:dyDescent="0.4">
      <c r="A70" s="3" t="s">
        <v>66</v>
      </c>
      <c r="B70" s="4">
        <f>583.87</f>
        <v>583.87</v>
      </c>
      <c r="C70" s="4">
        <f>0</f>
        <v>0</v>
      </c>
    </row>
    <row r="71" spans="1:3" x14ac:dyDescent="0.4">
      <c r="A71" s="3" t="s">
        <v>67</v>
      </c>
      <c r="B71" s="4">
        <f>7106.23</f>
        <v>7106.23</v>
      </c>
      <c r="C71" s="4">
        <f>0</f>
        <v>0</v>
      </c>
    </row>
    <row r="72" spans="1:3" x14ac:dyDescent="0.4">
      <c r="A72" s="3" t="s">
        <v>68</v>
      </c>
      <c r="B72" s="4">
        <f>40055.29</f>
        <v>40055.29</v>
      </c>
      <c r="C72" s="4">
        <f>0</f>
        <v>0</v>
      </c>
    </row>
    <row r="73" spans="1:3" x14ac:dyDescent="0.4">
      <c r="A73" s="3" t="s">
        <v>69</v>
      </c>
      <c r="B73" s="4">
        <f>5678.65</f>
        <v>5678.65</v>
      </c>
      <c r="C73" s="4">
        <f>0</f>
        <v>0</v>
      </c>
    </row>
    <row r="74" spans="1:3" x14ac:dyDescent="0.4">
      <c r="A74" s="3" t="s">
        <v>70</v>
      </c>
      <c r="B74" s="4">
        <f>2142.03</f>
        <v>2142.0300000000002</v>
      </c>
      <c r="C74" s="4">
        <f>0</f>
        <v>0</v>
      </c>
    </row>
    <row r="75" spans="1:3" x14ac:dyDescent="0.4">
      <c r="A75" s="3" t="s">
        <v>71</v>
      </c>
      <c r="B75" s="4">
        <f>650</f>
        <v>650</v>
      </c>
      <c r="C75" s="4">
        <f>0</f>
        <v>0</v>
      </c>
    </row>
    <row r="76" spans="1:3" x14ac:dyDescent="0.4">
      <c r="A76" s="3" t="s">
        <v>72</v>
      </c>
      <c r="B76" s="4">
        <f>13490.7</f>
        <v>13490.7</v>
      </c>
      <c r="C76" s="4">
        <f>0</f>
        <v>0</v>
      </c>
    </row>
    <row r="77" spans="1:3" x14ac:dyDescent="0.4">
      <c r="A77" s="3" t="s">
        <v>73</v>
      </c>
      <c r="B77" s="4">
        <f>328.08</f>
        <v>328.08</v>
      </c>
      <c r="C77" s="4">
        <f>0</f>
        <v>0</v>
      </c>
    </row>
    <row r="78" spans="1:3" x14ac:dyDescent="0.4">
      <c r="A78" s="3" t="s">
        <v>74</v>
      </c>
      <c r="B78" s="4">
        <f>1361.39</f>
        <v>1361.39</v>
      </c>
      <c r="C78" s="4">
        <f>0</f>
        <v>0</v>
      </c>
    </row>
    <row r="79" spans="1:3" x14ac:dyDescent="0.4">
      <c r="A79" s="3" t="s">
        <v>75</v>
      </c>
      <c r="B79" s="4">
        <f>11847.21</f>
        <v>11847.21</v>
      </c>
      <c r="C79" s="4">
        <f>0</f>
        <v>0</v>
      </c>
    </row>
    <row r="80" spans="1:3" x14ac:dyDescent="0.4">
      <c r="A80" s="3" t="s">
        <v>76</v>
      </c>
      <c r="B80" s="4">
        <f>9305.44</f>
        <v>9305.44</v>
      </c>
      <c r="C80" s="4">
        <f>0</f>
        <v>0</v>
      </c>
    </row>
    <row r="81" spans="1:3" x14ac:dyDescent="0.4">
      <c r="A81" s="3" t="s">
        <v>77</v>
      </c>
      <c r="B81" s="4">
        <f>3099.95</f>
        <v>3099.95</v>
      </c>
      <c r="C81" s="4">
        <f>0</f>
        <v>0</v>
      </c>
    </row>
    <row r="82" spans="1:3" x14ac:dyDescent="0.4">
      <c r="A82" s="3" t="s">
        <v>78</v>
      </c>
      <c r="B82" s="4">
        <f>20411.37</f>
        <v>20411.37</v>
      </c>
      <c r="C82" s="4">
        <f>0</f>
        <v>0</v>
      </c>
    </row>
    <row r="83" spans="1:3" x14ac:dyDescent="0.4">
      <c r="A83" s="3" t="s">
        <v>79</v>
      </c>
      <c r="B83" s="4">
        <f>138.7</f>
        <v>138.69999999999999</v>
      </c>
      <c r="C83" s="4">
        <f>0</f>
        <v>0</v>
      </c>
    </row>
    <row r="84" spans="1:3" x14ac:dyDescent="0.4">
      <c r="A84" s="3" t="s">
        <v>80</v>
      </c>
      <c r="B84" s="4">
        <f>0</f>
        <v>0</v>
      </c>
      <c r="C84" s="4">
        <f>118.57</f>
        <v>118.57</v>
      </c>
    </row>
    <row r="85" spans="1:3" x14ac:dyDescent="0.4">
      <c r="A85" s="3" t="s">
        <v>81</v>
      </c>
      <c r="B85" s="4">
        <f>237.3</f>
        <v>237.3</v>
      </c>
      <c r="C85" s="4">
        <f>0</f>
        <v>0</v>
      </c>
    </row>
    <row r="86" spans="1:3" x14ac:dyDescent="0.4">
      <c r="A86" s="3" t="s">
        <v>82</v>
      </c>
      <c r="B86" s="4">
        <f>5000</f>
        <v>5000</v>
      </c>
      <c r="C86" s="4">
        <f>0</f>
        <v>0</v>
      </c>
    </row>
    <row r="87" spans="1:3" x14ac:dyDescent="0.4">
      <c r="A87" s="3" t="s">
        <v>83</v>
      </c>
      <c r="B87" s="4">
        <f>13261.7</f>
        <v>13261.7</v>
      </c>
      <c r="C87" s="4">
        <f>0</f>
        <v>0</v>
      </c>
    </row>
    <row r="88" spans="1:3" x14ac:dyDescent="0.4">
      <c r="A88" s="3" t="s">
        <v>84</v>
      </c>
      <c r="B88" s="4">
        <f>10374.58</f>
        <v>10374.58</v>
      </c>
      <c r="C88" s="4">
        <f>0</f>
        <v>0</v>
      </c>
    </row>
    <row r="89" spans="1:3" x14ac:dyDescent="0.4">
      <c r="A89" s="3" t="s">
        <v>85</v>
      </c>
      <c r="B89" s="4">
        <f>719.36</f>
        <v>719.36</v>
      </c>
      <c r="C89" s="4">
        <f>0</f>
        <v>0</v>
      </c>
    </row>
    <row r="90" spans="1:3" x14ac:dyDescent="0.4">
      <c r="A90" s="3" t="s">
        <v>86</v>
      </c>
      <c r="B90" s="4">
        <f>1265.25</f>
        <v>1265.25</v>
      </c>
      <c r="C90" s="4">
        <f>0</f>
        <v>0</v>
      </c>
    </row>
    <row r="91" spans="1:3" x14ac:dyDescent="0.4">
      <c r="A91" s="3" t="s">
        <v>87</v>
      </c>
      <c r="B91" s="4">
        <f>46053</f>
        <v>46053</v>
      </c>
      <c r="C91" s="4">
        <f>0</f>
        <v>0</v>
      </c>
    </row>
    <row r="92" spans="1:3" x14ac:dyDescent="0.4">
      <c r="A92" s="3" t="s">
        <v>88</v>
      </c>
      <c r="B92" s="4">
        <f>1601</f>
        <v>1601</v>
      </c>
      <c r="C92" s="4">
        <f>0</f>
        <v>0</v>
      </c>
    </row>
    <row r="93" spans="1:3" x14ac:dyDescent="0.4">
      <c r="A93" s="3" t="s">
        <v>89</v>
      </c>
      <c r="B93" s="4">
        <f>16605.37</f>
        <v>16605.37</v>
      </c>
      <c r="C93" s="4">
        <f>0</f>
        <v>0</v>
      </c>
    </row>
    <row r="94" spans="1:3" x14ac:dyDescent="0.4">
      <c r="A94" s="3" t="s">
        <v>90</v>
      </c>
      <c r="B94" s="4">
        <f>16951.63</f>
        <v>16951.63</v>
      </c>
      <c r="C94" s="4">
        <f>0</f>
        <v>0</v>
      </c>
    </row>
    <row r="95" spans="1:3" x14ac:dyDescent="0.4">
      <c r="A95" s="3" t="s">
        <v>91</v>
      </c>
      <c r="B95" s="4">
        <f>1073.67</f>
        <v>1073.67</v>
      </c>
      <c r="C95" s="4">
        <f>0</f>
        <v>0</v>
      </c>
    </row>
    <row r="96" spans="1:3" x14ac:dyDescent="0.4">
      <c r="A96" s="3" t="s">
        <v>92</v>
      </c>
      <c r="B96" s="4">
        <f>115.59</f>
        <v>115.59</v>
      </c>
      <c r="C96" s="4">
        <f>0</f>
        <v>0</v>
      </c>
    </row>
    <row r="97" spans="1:3" x14ac:dyDescent="0.4">
      <c r="A97" s="3" t="s">
        <v>93</v>
      </c>
      <c r="B97" s="4">
        <f>0</f>
        <v>0</v>
      </c>
      <c r="C97" s="4">
        <f>3502.59</f>
        <v>3502.59</v>
      </c>
    </row>
    <row r="98" spans="1:3" x14ac:dyDescent="0.4">
      <c r="A98" s="3" t="s">
        <v>94</v>
      </c>
      <c r="B98" s="4">
        <f>6389.87</f>
        <v>6389.87</v>
      </c>
      <c r="C98" s="4">
        <f>0</f>
        <v>0</v>
      </c>
    </row>
    <row r="99" spans="1:3" x14ac:dyDescent="0.4">
      <c r="A99" s="3" t="s">
        <v>95</v>
      </c>
      <c r="B99" s="4">
        <f>4012.25</f>
        <v>4012.25</v>
      </c>
      <c r="C99" s="4">
        <f>0</f>
        <v>0</v>
      </c>
    </row>
    <row r="100" spans="1:3" x14ac:dyDescent="0.4">
      <c r="A100" s="3" t="s">
        <v>96</v>
      </c>
      <c r="B100" s="4">
        <f>1263.68</f>
        <v>1263.68</v>
      </c>
      <c r="C100" s="4">
        <f>0</f>
        <v>0</v>
      </c>
    </row>
    <row r="101" spans="1:3" x14ac:dyDescent="0.4">
      <c r="A101" s="3" t="s">
        <v>97</v>
      </c>
      <c r="B101" s="4">
        <f>3671.83</f>
        <v>3671.83</v>
      </c>
      <c r="C101" s="4">
        <f>0</f>
        <v>0</v>
      </c>
    </row>
    <row r="102" spans="1:3" x14ac:dyDescent="0.4">
      <c r="A102" s="3" t="s">
        <v>98</v>
      </c>
      <c r="B102" s="4">
        <f>2318.6</f>
        <v>2318.6</v>
      </c>
      <c r="C102" s="4">
        <f>0</f>
        <v>0</v>
      </c>
    </row>
    <row r="103" spans="1:3" x14ac:dyDescent="0.4">
      <c r="A103" s="3" t="s">
        <v>99</v>
      </c>
      <c r="B103" s="4">
        <f>1861.11</f>
        <v>1861.11</v>
      </c>
      <c r="C103" s="4">
        <f>0</f>
        <v>0</v>
      </c>
    </row>
    <row r="104" spans="1:3" x14ac:dyDescent="0.4">
      <c r="A104" s="3" t="s">
        <v>100</v>
      </c>
      <c r="B104" s="4">
        <f>12001.97</f>
        <v>12001.97</v>
      </c>
      <c r="C104" s="4">
        <f>0</f>
        <v>0</v>
      </c>
    </row>
    <row r="105" spans="1:3" x14ac:dyDescent="0.4">
      <c r="A105" s="3" t="s">
        <v>101</v>
      </c>
      <c r="B105" s="4">
        <f>0</f>
        <v>0</v>
      </c>
      <c r="C105" s="4">
        <f>74.01</f>
        <v>74.010000000000005</v>
      </c>
    </row>
    <row r="106" spans="1:3" x14ac:dyDescent="0.4">
      <c r="A106" s="3" t="s">
        <v>102</v>
      </c>
      <c r="B106" s="4">
        <f>613.82</f>
        <v>613.82000000000005</v>
      </c>
      <c r="C106" s="4">
        <f>0</f>
        <v>0</v>
      </c>
    </row>
    <row r="107" spans="1:3" x14ac:dyDescent="0.4">
      <c r="A107" s="3" t="s">
        <v>103</v>
      </c>
      <c r="B107" s="4">
        <f>737.11</f>
        <v>737.11</v>
      </c>
      <c r="C107" s="4">
        <f>0</f>
        <v>0</v>
      </c>
    </row>
    <row r="108" spans="1:3" x14ac:dyDescent="0.4">
      <c r="A108" s="3" t="s">
        <v>104</v>
      </c>
      <c r="B108" s="4">
        <f>1115.86</f>
        <v>1115.8599999999999</v>
      </c>
      <c r="C108" s="4">
        <f>0</f>
        <v>0</v>
      </c>
    </row>
    <row r="109" spans="1:3" x14ac:dyDescent="0.4">
      <c r="A109" s="3" t="s">
        <v>105</v>
      </c>
      <c r="B109" s="4">
        <f>94422.25</f>
        <v>94422.25</v>
      </c>
      <c r="C109" s="4">
        <f>0</f>
        <v>0</v>
      </c>
    </row>
    <row r="110" spans="1:3" x14ac:dyDescent="0.4">
      <c r="A110" s="3" t="s">
        <v>106</v>
      </c>
      <c r="B110" s="4">
        <f>1150.04</f>
        <v>1150.04</v>
      </c>
      <c r="C110" s="4">
        <f>0</f>
        <v>0</v>
      </c>
    </row>
    <row r="111" spans="1:3" x14ac:dyDescent="0.4">
      <c r="A111" s="3" t="s">
        <v>107</v>
      </c>
      <c r="B111" s="4">
        <f>431.65</f>
        <v>431.65</v>
      </c>
      <c r="C111" s="4">
        <f>0</f>
        <v>0</v>
      </c>
    </row>
    <row r="112" spans="1:3" x14ac:dyDescent="0.4">
      <c r="A112" s="3" t="s">
        <v>108</v>
      </c>
      <c r="B112" s="4">
        <f>295.34</f>
        <v>295.33999999999997</v>
      </c>
      <c r="C112" s="4">
        <f>0</f>
        <v>0</v>
      </c>
    </row>
    <row r="113" spans="1:3" x14ac:dyDescent="0.4">
      <c r="A113" s="3" t="s">
        <v>109</v>
      </c>
      <c r="B113" s="4">
        <f>603.3</f>
        <v>603.29999999999995</v>
      </c>
      <c r="C113" s="4">
        <f>0</f>
        <v>0</v>
      </c>
    </row>
    <row r="114" spans="1:3" x14ac:dyDescent="0.4">
      <c r="A114" s="3" t="s">
        <v>110</v>
      </c>
      <c r="B114" s="4">
        <f>597.93</f>
        <v>597.92999999999995</v>
      </c>
      <c r="C114" s="4">
        <f>0</f>
        <v>0</v>
      </c>
    </row>
    <row r="115" spans="1:3" x14ac:dyDescent="0.4">
      <c r="A115" s="3" t="s">
        <v>111</v>
      </c>
      <c r="B115" s="4">
        <f>1924.89</f>
        <v>1924.89</v>
      </c>
      <c r="C115" s="4">
        <f>0</f>
        <v>0</v>
      </c>
    </row>
    <row r="116" spans="1:3" x14ac:dyDescent="0.4">
      <c r="A116" s="3" t="s">
        <v>112</v>
      </c>
      <c r="B116" s="4">
        <f>1999.35</f>
        <v>1999.35</v>
      </c>
      <c r="C116" s="4">
        <f>0</f>
        <v>0</v>
      </c>
    </row>
    <row r="117" spans="1:3" x14ac:dyDescent="0.4">
      <c r="A117" s="3" t="s">
        <v>113</v>
      </c>
      <c r="B117" s="4">
        <f>7675.34</f>
        <v>7675.34</v>
      </c>
      <c r="C117" s="4">
        <f>0</f>
        <v>0</v>
      </c>
    </row>
    <row r="118" spans="1:3" x14ac:dyDescent="0.4">
      <c r="A118" s="3" t="s">
        <v>114</v>
      </c>
      <c r="B118" s="4">
        <f>4229.67</f>
        <v>4229.67</v>
      </c>
      <c r="C118" s="4">
        <f>0</f>
        <v>0</v>
      </c>
    </row>
    <row r="119" spans="1:3" x14ac:dyDescent="0.4">
      <c r="A119" s="3" t="s">
        <v>115</v>
      </c>
      <c r="B119" s="4">
        <f>5654.14</f>
        <v>5654.14</v>
      </c>
      <c r="C119" s="4">
        <f>0</f>
        <v>0</v>
      </c>
    </row>
    <row r="120" spans="1:3" x14ac:dyDescent="0.4">
      <c r="A120" s="3" t="s">
        <v>116</v>
      </c>
      <c r="B120" s="4">
        <f>396.59</f>
        <v>396.59</v>
      </c>
      <c r="C120" s="4">
        <f>0</f>
        <v>0</v>
      </c>
    </row>
    <row r="121" spans="1:3" x14ac:dyDescent="0.4">
      <c r="A121" s="3" t="s">
        <v>117</v>
      </c>
      <c r="B121" s="4">
        <f>6357.92</f>
        <v>6357.92</v>
      </c>
      <c r="C121" s="4">
        <f>0</f>
        <v>0</v>
      </c>
    </row>
    <row r="122" spans="1:3" x14ac:dyDescent="0.4">
      <c r="A122" s="3" t="s">
        <v>118</v>
      </c>
      <c r="B122" s="4">
        <f>11215.87</f>
        <v>11215.87</v>
      </c>
      <c r="C122" s="4">
        <f>0</f>
        <v>0</v>
      </c>
    </row>
    <row r="123" spans="1:3" x14ac:dyDescent="0.4">
      <c r="A123" s="3" t="s">
        <v>119</v>
      </c>
      <c r="B123" s="4">
        <f>52.24</f>
        <v>52.24</v>
      </c>
      <c r="C123" s="4">
        <f>0</f>
        <v>0</v>
      </c>
    </row>
    <row r="124" spans="1:3" x14ac:dyDescent="0.4">
      <c r="A124" s="3" t="s">
        <v>120</v>
      </c>
      <c r="B124" s="4">
        <f>5643.06</f>
        <v>5643.06</v>
      </c>
      <c r="C124" s="4">
        <f>0</f>
        <v>0</v>
      </c>
    </row>
    <row r="125" spans="1:3" x14ac:dyDescent="0.4">
      <c r="A125" s="3" t="s">
        <v>121</v>
      </c>
      <c r="B125" s="4">
        <f>1751.49</f>
        <v>1751.49</v>
      </c>
      <c r="C125" s="4">
        <f>0</f>
        <v>0</v>
      </c>
    </row>
    <row r="126" spans="1:3" x14ac:dyDescent="0.4">
      <c r="A126" s="3" t="s">
        <v>122</v>
      </c>
      <c r="B126" s="4">
        <f>14389.27</f>
        <v>14389.27</v>
      </c>
      <c r="C126" s="4">
        <f>0</f>
        <v>0</v>
      </c>
    </row>
    <row r="127" spans="1:3" x14ac:dyDescent="0.4">
      <c r="A127" s="3" t="s">
        <v>123</v>
      </c>
      <c r="B127" s="4">
        <f>66.06</f>
        <v>66.06</v>
      </c>
      <c r="C127" s="4">
        <f>0</f>
        <v>0</v>
      </c>
    </row>
    <row r="128" spans="1:3" x14ac:dyDescent="0.4">
      <c r="A128" s="3" t="s">
        <v>124</v>
      </c>
      <c r="B128" s="4">
        <f>101791</f>
        <v>101791</v>
      </c>
      <c r="C128" s="4">
        <f>0</f>
        <v>0</v>
      </c>
    </row>
    <row r="129" spans="1:3" x14ac:dyDescent="0.4">
      <c r="A129" s="3" t="s">
        <v>125</v>
      </c>
      <c r="B129" s="4">
        <f>16571.29</f>
        <v>16571.29</v>
      </c>
      <c r="C129" s="4">
        <f>0</f>
        <v>0</v>
      </c>
    </row>
    <row r="130" spans="1:3" x14ac:dyDescent="0.4">
      <c r="A130" s="3" t="s">
        <v>126</v>
      </c>
      <c r="B130" s="4">
        <f>1009.9</f>
        <v>1009.9</v>
      </c>
      <c r="C130" s="4">
        <f>0</f>
        <v>0</v>
      </c>
    </row>
    <row r="131" spans="1:3" x14ac:dyDescent="0.4">
      <c r="A131" s="3" t="s">
        <v>127</v>
      </c>
      <c r="B131" s="4">
        <f>0</f>
        <v>0</v>
      </c>
      <c r="C131" s="4">
        <f>9899.6</f>
        <v>9899.6</v>
      </c>
    </row>
    <row r="132" spans="1:3" x14ac:dyDescent="0.4">
      <c r="A132" s="3" t="s">
        <v>128</v>
      </c>
      <c r="B132" s="4">
        <f>0</f>
        <v>0</v>
      </c>
      <c r="C132" s="4">
        <f>44146.57</f>
        <v>44146.57</v>
      </c>
    </row>
    <row r="133" spans="1:3" x14ac:dyDescent="0.4">
      <c r="A133" s="3" t="s">
        <v>129</v>
      </c>
      <c r="B133" s="4">
        <f>0</f>
        <v>0</v>
      </c>
      <c r="C133" s="4">
        <f>6107.92</f>
        <v>6107.92</v>
      </c>
    </row>
    <row r="134" spans="1:3" x14ac:dyDescent="0.4">
      <c r="A134" s="3" t="s">
        <v>130</v>
      </c>
      <c r="B134" s="5">
        <f>((((((((((((((((((((((((((((((((((((((((((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)+(B92))+(B93))+(B94))+(B95))+(B96))+(B97))+(B98))+(B99))+(B100))+(B101))+(B102))+(B103))+(B104))+(B105))+(B106))+(B107))+(B108))+(B109))+(B110))+(B111))+(B112))+(B113))+(B114))+(B115))+(B116))+(B117))+(B118))+(B119))+(B120))+(B121))+(B122))+(B123))+(B124))+(B125))+(B126))+(B127))+(B128))+(B129))+(B130))+(B131))+(B132))+(B133)</f>
        <v>4912905.2300000023</v>
      </c>
      <c r="C134" s="5">
        <f>((((((((((((((((((((((((((((((((((((((((((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)+(C92))+(C93))+(C94))+(C95))+(C96))+(C97))+(C98))+(C99))+(C100))+(C101))+(C102))+(C103))+(C104))+(C105))+(C106))+(C107))+(C108))+(C109))+(C110))+(C111))+(C112))+(C113))+(C114))+(C115))+(C116))+(C117))+(C118))+(C119))+(C120))+(C121))+(C122))+(C123))+(C124))+(C125))+(C126))+(C127))+(C128))+(C129))+(C130))+(C131))+(C132))+(C133)</f>
        <v>4912905.2299999995</v>
      </c>
    </row>
    <row r="135" spans="1:3" x14ac:dyDescent="0.4">
      <c r="A135" s="3"/>
      <c r="B135" s="6"/>
      <c r="C135" s="6"/>
    </row>
    <row r="138" spans="1:3" x14ac:dyDescent="0.4">
      <c r="A138" s="7" t="s">
        <v>131</v>
      </c>
      <c r="B138" s="8"/>
      <c r="C138" s="8"/>
    </row>
  </sheetData>
  <mergeCells count="4">
    <mergeCell ref="A138:C138"/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Ramzan Khuwaja</cp:lastModifiedBy>
  <dcterms:created xsi:type="dcterms:W3CDTF">2026-04-10T01:53:02Z</dcterms:created>
  <dcterms:modified xsi:type="dcterms:W3CDTF">2026-04-10T01:53:30Z</dcterms:modified>
</cp:coreProperties>
</file>