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za\My Software Projects\CodexProjects\codex_som_vau_financials\data\current\"/>
    </mc:Choice>
  </mc:AlternateContent>
  <xr:revisionPtr revIDLastSave="0" documentId="11_CCF9AD90B1C31AA3250F7C9A59AB59FF79CAAB5E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Trial 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6" i="1" l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C217" i="1" s="1"/>
  <c r="B6" i="1"/>
  <c r="B217" i="1" s="1"/>
</calcChain>
</file>

<file path=xl/sharedStrings.xml><?xml version="1.0" encoding="utf-8"?>
<sst xmlns="http://schemas.openxmlformats.org/spreadsheetml/2006/main" count="218" uniqueCount="218">
  <si>
    <t>Debit</t>
  </si>
  <si>
    <t>Credit</t>
  </si>
  <si>
    <t>1000 RBC Checking</t>
  </si>
  <si>
    <t>1010 GIC Account Holdings</t>
  </si>
  <si>
    <t>1050 Petty Cash</t>
  </si>
  <si>
    <t>1003 Advance Deposit</t>
  </si>
  <si>
    <t>1051 IG+RBC-DI - Investment Account</t>
  </si>
  <si>
    <t>1055 Deferred Charges</t>
  </si>
  <si>
    <t>1065 Unrealized Gains/Losses</t>
  </si>
  <si>
    <t>1095 Uncategorized Asset</t>
  </si>
  <si>
    <t>1099 Undeposited Funds</t>
  </si>
  <si>
    <t>1303 Prepaid Royalty Fees</t>
  </si>
  <si>
    <t>1304 Prepaid Franchise Fees</t>
  </si>
  <si>
    <t>1004 Franchise Fees (Eligible Capital Property)</t>
  </si>
  <si>
    <t>1005 Computer Equipment &amp; Software</t>
  </si>
  <si>
    <t>1006 Capital Asset</t>
  </si>
  <si>
    <t>1003.1 Capital Asset:Leasehold Improvements</t>
  </si>
  <si>
    <t>1007 Acc. Amort. Leasehold Improveme</t>
  </si>
  <si>
    <t>1305 Furniture and equipment</t>
  </si>
  <si>
    <t>1310 Accum. amorti - F&amp;F</t>
  </si>
  <si>
    <t>1325 Accum. amortization - computer</t>
  </si>
  <si>
    <t>1210 Accu. Amort. Franchise Fee (Eligible Capital Property)</t>
  </si>
  <si>
    <t>2010 Account payable</t>
  </si>
  <si>
    <t>2003 RBC-VAU-Visa-CC</t>
  </si>
  <si>
    <t>2006 TD AEROPLAN VISA INFINITE</t>
  </si>
  <si>
    <t>RBC Avion Visa Business(1411)</t>
  </si>
  <si>
    <t>2020 Deferred Revenue</t>
  </si>
  <si>
    <t>2105 Royalty Fee Payable</t>
  </si>
  <si>
    <t>2360 Corporate income tax payab</t>
  </si>
  <si>
    <t>2900 Shareholder's Advance</t>
  </si>
  <si>
    <t>2901 Shareholder's Advance:Ramzan Khuwaja</t>
  </si>
  <si>
    <t>2902 Shareholder's Advance:Farah Khuwaja</t>
  </si>
  <si>
    <t>2950 CEBA  (Govt Loan)</t>
  </si>
  <si>
    <t>1052 CREDIT Cash</t>
  </si>
  <si>
    <t>3000 Share Capital</t>
  </si>
  <si>
    <t>3001 Opening Bal Equity</t>
  </si>
  <si>
    <t>3900 Retained Earnings</t>
  </si>
  <si>
    <t>3905 Partner Distributions</t>
  </si>
  <si>
    <t>3915 Dividends (Capital)</t>
  </si>
  <si>
    <t>4100 Tuition</t>
  </si>
  <si>
    <t>4104 Registration Fee</t>
  </si>
  <si>
    <t>4110 Other income - CEBA</t>
  </si>
  <si>
    <t>4110.1 Other income - CEBA:Canada Carbon Rebate</t>
  </si>
  <si>
    <t>4130 Summer Camps</t>
  </si>
  <si>
    <t>4210 Materials Sales</t>
  </si>
  <si>
    <t>4223 Services</t>
  </si>
  <si>
    <t>4900 Interest Income</t>
  </si>
  <si>
    <t>4920 Refunds</t>
  </si>
  <si>
    <t>4930 Competitions/Contests</t>
  </si>
  <si>
    <t>8025 Investment income</t>
  </si>
  <si>
    <t>5000 Cost of Goods Sold</t>
  </si>
  <si>
    <t>5001 Cost of Goods Sold:Student Graduation</t>
  </si>
  <si>
    <t>5100 Materials and Supplies</t>
  </si>
  <si>
    <t>5110 Shipping Costs</t>
  </si>
  <si>
    <t>5200 .Payroll Expense</t>
  </si>
  <si>
    <t>5211 .Payroll Expense:Wages</t>
  </si>
  <si>
    <t>5211.1 .Payroll Expense:Wages:Teachers</t>
  </si>
  <si>
    <t>5211.2 .Payroll Expense:Wages:Assistant Teachers</t>
  </si>
  <si>
    <t>5212 .Payroll Expense:CPP Expense</t>
  </si>
  <si>
    <t>5213 .Payroll Expense:EI Expense</t>
  </si>
  <si>
    <t>5215 .Payroll Expense:Employee Benefits</t>
  </si>
  <si>
    <t>5217 .Payroll Expense:WSIB Expense</t>
  </si>
  <si>
    <t>5218 .Payroll Expense:Payroll Remittances (deleted)</t>
  </si>
  <si>
    <t>5219 .Payroll Expense:FED.TAX</t>
  </si>
  <si>
    <t>5300 Teacher and CAA training</t>
  </si>
  <si>
    <t>5300.1 Teacher and CAA training:SMS Conference</t>
  </si>
  <si>
    <t>5300.2 Teacher and CAA training:(e)Books</t>
  </si>
  <si>
    <t>5300.3 Teacher and CAA training:Online Training</t>
  </si>
  <si>
    <t>5300.4 Teacher and CAA training:Education</t>
  </si>
  <si>
    <t>5875 Teacher and CAA training:Teacher training</t>
  </si>
  <si>
    <t>5410 Subcontract</t>
  </si>
  <si>
    <t>5500 Credit Card Fees</t>
  </si>
  <si>
    <t>5500.1 Credit Card Fees:FirstData-Merchant Services</t>
  </si>
  <si>
    <t>5500.2 Credit Card Fees:Interest expense - CC</t>
  </si>
  <si>
    <t>5500.3 Credit Card Fees:CC charges</t>
  </si>
  <si>
    <t>5600 Rent</t>
  </si>
  <si>
    <t>5601 Rent:Campus 1 (SAPC) (deleted)</t>
  </si>
  <si>
    <t>5602 Rent:Maple Library (deleted)</t>
  </si>
  <si>
    <t>5603 Rent:Deposit (SAPC) (deleted)</t>
  </si>
  <si>
    <t>5605 Rent:9135 Keele Street, Unit B3/B4</t>
  </si>
  <si>
    <t>5710 Royalty fee</t>
  </si>
  <si>
    <t>5710.1 Royalty fee:Royalty fee - Online</t>
  </si>
  <si>
    <t>5710.2 Royalty fee:Royalty fee - Inperson</t>
  </si>
  <si>
    <t>5710.3 Royalty fee:Royalty Fee (2024-25) - In-person</t>
  </si>
  <si>
    <t>5711 Service Fee</t>
  </si>
  <si>
    <t>5720 National Advertising Fund (deleted)</t>
  </si>
  <si>
    <t>5780 Student Handouts</t>
  </si>
  <si>
    <t>5780.1 Student Handouts:Shipping, Freight and Delivery - COS</t>
  </si>
  <si>
    <t>5785 Teaching Supplies</t>
  </si>
  <si>
    <t>5850 Course Materials (deleted)</t>
  </si>
  <si>
    <t>5851 Course Materials (deleted):Competitions (deleted)</t>
  </si>
  <si>
    <t>5852 Course Materials (deleted):Course Materials - Other (deleted)</t>
  </si>
  <si>
    <t>5900 Other Direct cost</t>
  </si>
  <si>
    <t>5901 Other Direct cost:Canvas</t>
  </si>
  <si>
    <t>5902 Other Direct cost:Jupiter</t>
  </si>
  <si>
    <t>5903 Other Direct cost:SIRS</t>
  </si>
  <si>
    <t>5904 Other Direct cost:Brightspace</t>
  </si>
  <si>
    <t>5408 HST/GST Paid (deleted)</t>
  </si>
  <si>
    <t>5411 Tuition Refunds</t>
  </si>
  <si>
    <t>6110 Professional Fees</t>
  </si>
  <si>
    <t>6114 Professional Fees:Payroll Processing (Ceridian)</t>
  </si>
  <si>
    <t>6115 Professional Fees:Legal Expense</t>
  </si>
  <si>
    <t>6116 Professional Fees:Accounting Fees</t>
  </si>
  <si>
    <t>6117 Professional Fees:Bookkeeping Fees</t>
  </si>
  <si>
    <t>6118 Professional Fees:Consulting Fees</t>
  </si>
  <si>
    <t>6119 Professional Fees:HR Profiles/Recruitment</t>
  </si>
  <si>
    <t>6120 Professional Fees:Cleaning Service</t>
  </si>
  <si>
    <t>6200 Marketing/Advertising/Promotion</t>
  </si>
  <si>
    <t>6100 Marketing/Advertising/Promotion:Radio Ad</t>
  </si>
  <si>
    <t>6201 Marketing/Advertising/Promotion:Marketing Material</t>
  </si>
  <si>
    <t>6201.1 Marketing/Advertising/Promotion:Marketing Wages</t>
  </si>
  <si>
    <t>6201.2 Marketing/Advertising/Promotion:FTC</t>
  </si>
  <si>
    <t>6202 Marketing/Advertising/Promotion:Space Rental</t>
  </si>
  <si>
    <t>6203 Marketing/Advertising/Promotion:Mailing</t>
  </si>
  <si>
    <t>6204 Marketing/Advertising/Promotion:Mobile Sign</t>
  </si>
  <si>
    <t>6205 Marketing/Advertising/Promotion:Kiosk Rental</t>
  </si>
  <si>
    <t>6206 Marketing/Advertising/Promotion:Event Sponsorship</t>
  </si>
  <si>
    <t>6207 Marketing/Advertising/Promotion:Online Ads</t>
  </si>
  <si>
    <t>6208 Marketing/Advertising/Promotion:Print Media</t>
  </si>
  <si>
    <t>6209 Marketing/Advertising/Promotion:Billboard Rental</t>
  </si>
  <si>
    <t>6210 Marketing/Advertising/Promotion:Community Advertisement</t>
  </si>
  <si>
    <t>6230 Non-SMS Competition Expense</t>
  </si>
  <si>
    <t>6250 Amortization/Depreciation expense </t>
  </si>
  <si>
    <t>6255 Amortization of franchise fee</t>
  </si>
  <si>
    <t>6260 Donations</t>
  </si>
  <si>
    <t>6402 Donations:Aga Khan Museum</t>
  </si>
  <si>
    <t>6300 Automobile costs</t>
  </si>
  <si>
    <t>6301 Automobile costs:Car lease</t>
  </si>
  <si>
    <t>6302 Automobile costs:Car fuel</t>
  </si>
  <si>
    <t>6303 Automobile costs:Car insurance</t>
  </si>
  <si>
    <t>6304 Automobile costs:Car Parking</t>
  </si>
  <si>
    <t>6305 Automobile costs:Car Repair &amp; Maintence</t>
  </si>
  <si>
    <t>6306 Automobile costs:Car travel allowance (deleted)</t>
  </si>
  <si>
    <t>6307 Automobile costs:Car loan interest</t>
  </si>
  <si>
    <t>6308 Automobile costs:Car Other (deleted)</t>
  </si>
  <si>
    <t>6309 Automobile costs:Other Travel Cost</t>
  </si>
  <si>
    <t>6310 Payroll Expense (deleted)</t>
  </si>
  <si>
    <t>6311 Payroll Expense (deleted):Wages (deleted)</t>
  </si>
  <si>
    <t>6311.7 Payroll Expense (deleted):Wages (deleted):Marketing (deleted)</t>
  </si>
  <si>
    <t>6312 Payroll Expense (deleted):CPP Expense (deleted)</t>
  </si>
  <si>
    <t>6313 Payroll Expense (deleted):EI Expense (deleted)</t>
  </si>
  <si>
    <t>6314 Payroll Expense (deleted):EHT Expense (deleted)</t>
  </si>
  <si>
    <t>6315 Payroll Expense (deleted):Employee Benefits (deleted)</t>
  </si>
  <si>
    <t>6317 Payroll Expense (deleted):WSIB Expense (deleted)</t>
  </si>
  <si>
    <t>6401 Office/Campus Expenses</t>
  </si>
  <si>
    <t>6401.1 Office/Campus Expenses:Campus Supplies</t>
  </si>
  <si>
    <t>6401.10 Office/Campus Expenses:Misc. Expanses</t>
  </si>
  <si>
    <t>6401.11 Office/Campus Expenses:SMS Supplies - Student</t>
  </si>
  <si>
    <t>6401.12 Office/Campus Expenses:SMS Supplies - Campus</t>
  </si>
  <si>
    <t>6401.13 Office/Campus Expenses:Campus Equipment</t>
  </si>
  <si>
    <t>6401.14 Office/Campus Expenses:Event</t>
  </si>
  <si>
    <t>6401.15 Office/Campus Expenses:Gifts</t>
  </si>
  <si>
    <t>6401.2 Office/Campus Expenses:Printer Supplies</t>
  </si>
  <si>
    <t>6401.3 Office/Campus Expenses:Office Supplies</t>
  </si>
  <si>
    <t>6401.4 Office/Campus Expenses:Office Equipments</t>
  </si>
  <si>
    <t>6401.5 Office/Campus Expenses:Photocopying</t>
  </si>
  <si>
    <t>6401.6 Office/Campus Expenses:Courier/ Postage</t>
  </si>
  <si>
    <t>6401.7 Office/Campus Expenses:SMS Supplies - Employees</t>
  </si>
  <si>
    <t>6401.8 Office/Campus Expenses:Teaching Supplies</t>
  </si>
  <si>
    <t>6401.9 Office/Campus Expenses:Competitions</t>
  </si>
  <si>
    <t>6401.91 Office/Campus Expenses:Competitions:SMS Competitions</t>
  </si>
  <si>
    <t>6401.92 Office/Campus Expenses:Competitions:Non-SMS Competitions</t>
  </si>
  <si>
    <t>6405 IT Expense</t>
  </si>
  <si>
    <t>6405.1 IT Expense:Hardware</t>
  </si>
  <si>
    <t>6405.2 IT Expense:Online Teacher Recruitment Serv</t>
  </si>
  <si>
    <t>6405.3 IT Expense:Employee Email</t>
  </si>
  <si>
    <t>6405.4 IT Expense:Wireless Tablet</t>
  </si>
  <si>
    <t>6405.5 IT Expense:Computer Expense - Other</t>
  </si>
  <si>
    <t>6405.9 IT Expense:Monthly service fee</t>
  </si>
  <si>
    <t>6406 IT Expense:Software Expense</t>
  </si>
  <si>
    <t>6407 IT Expense:IT Communications</t>
  </si>
  <si>
    <t>6407.2 IT Expense:Internet</t>
  </si>
  <si>
    <t>6408 IT Expense:Cell phone</t>
  </si>
  <si>
    <t>6420 Finance charges</t>
  </si>
  <si>
    <t>6420.1 Finance charges:Bank charges</t>
  </si>
  <si>
    <t>6420.2 Finance charges:Interest expense - bank</t>
  </si>
  <si>
    <t>6550 Fees and licences</t>
  </si>
  <si>
    <t>6600 Insurance</t>
  </si>
  <si>
    <t>6615 Events Expense</t>
  </si>
  <si>
    <t>6630 Office Photocopying Expense (deleted)</t>
  </si>
  <si>
    <t>6645 Courier / Postage (deleted)</t>
  </si>
  <si>
    <t>6646 Bad debt expense (deleted)</t>
  </si>
  <si>
    <t>6650 Meals &amp; entertainment</t>
  </si>
  <si>
    <t>6690 Office @ home</t>
  </si>
  <si>
    <t>6700 Business Phone</t>
  </si>
  <si>
    <t>6701 Health &amp; Safety</t>
  </si>
  <si>
    <t>6710 Utilities</t>
  </si>
  <si>
    <t>6711 Security Services</t>
  </si>
  <si>
    <t>6715 Repairs and maintenance</t>
  </si>
  <si>
    <t>6720 Travel Expense (meetings, etc.)</t>
  </si>
  <si>
    <t>6730 Business &amp; Admin training expen (deleted)</t>
  </si>
  <si>
    <t>6810 Recruitment expense (deleted)</t>
  </si>
  <si>
    <t>6925 WorkShop Expenses (deleted)</t>
  </si>
  <si>
    <t>6930 Non-deductible penalty &amp; int (deleted)</t>
  </si>
  <si>
    <t>6930 Non-deductible penalty &amp; interest</t>
  </si>
  <si>
    <t>6935 Corporate Tax Expense</t>
  </si>
  <si>
    <t>6940 Survey Account (deleted)</t>
  </si>
  <si>
    <t>69800 Uncategorized Expenses (deleted)</t>
  </si>
  <si>
    <t>7001 Permanent Location (deleted)</t>
  </si>
  <si>
    <t>8010 Investment Management Fees</t>
  </si>
  <si>
    <t>8045 Foreign Taxes</t>
  </si>
  <si>
    <t>9999 Other Operational Cost (deleted)</t>
  </si>
  <si>
    <t>Adjustments (deleted)</t>
  </si>
  <si>
    <t>Ministry of Finance (ON) Expense (deleted)</t>
  </si>
  <si>
    <t>Uncategorized Expense</t>
  </si>
  <si>
    <t>4951 Charity Donations Received (deleted)</t>
  </si>
  <si>
    <t>8000 Gain/loss on sale of investments</t>
  </si>
  <si>
    <t>8005 Dividend income</t>
  </si>
  <si>
    <t>8026 Capital gain</t>
  </si>
  <si>
    <t>8030 Interest earned</t>
  </si>
  <si>
    <t>8040 Other Investment Income</t>
  </si>
  <si>
    <t>Bank Interest (deleted)</t>
  </si>
  <si>
    <t>8010 Other Miscellaneous Expense (deleted)</t>
  </si>
  <si>
    <t>TOTAL</t>
  </si>
  <si>
    <t>Thursday, Apr. 09, 2026 06:17:55 p.m. GMT-7 - Accrual Basis</t>
  </si>
  <si>
    <t>Spirit of Math Schools Vaughan</t>
  </si>
  <si>
    <t>Trial Balance</t>
  </si>
  <si>
    <t>All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</si>
</sst>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G13" sqref="G13"/>
    </sheetView>
  </sheetViews>
  <sheetFormatPr defaultRowHeight="14.6" x14ac:dyDescent="0.4"/>
  <cols>
    <col min="1" max="1" width="59.3046875" customWidth="1"/>
    <col min="2" max="3" width="18.07421875" customWidth="1"/>
  </cols>
  <sheetData>
    <row r="1" spans="1:3" ht="17.600000000000001" x14ac:dyDescent="0.4">
      <c r="A1" s="9" t="s">
        <v>215</v>
      </c>
      <c r="B1" s="8"/>
      <c r="C1" s="8"/>
    </row>
    <row r="2" spans="1:3" ht="17.600000000000001" x14ac:dyDescent="0.4">
      <c r="A2" s="9" t="s">
        <v>216</v>
      </c>
      <c r="B2" s="8"/>
      <c r="C2" s="8"/>
    </row>
    <row r="3" spans="1:3" x14ac:dyDescent="0.4">
      <c r="A3" s="10" t="s">
        <v>217</v>
      </c>
      <c r="B3" s="8"/>
      <c r="C3" s="8"/>
    </row>
    <row r="5" spans="1:3" x14ac:dyDescent="0.4">
      <c r="A5" s="1"/>
      <c r="B5" s="2" t="s">
        <v>0</v>
      </c>
      <c r="C5" s="2" t="s">
        <v>1</v>
      </c>
    </row>
    <row r="6" spans="1:3" x14ac:dyDescent="0.4">
      <c r="A6" s="3" t="s">
        <v>2</v>
      </c>
      <c r="B6" s="4">
        <f>595955.2</f>
        <v>595955.19999999995</v>
      </c>
      <c r="C6" s="4">
        <f>0</f>
        <v>0</v>
      </c>
    </row>
    <row r="7" spans="1:3" x14ac:dyDescent="0.4">
      <c r="A7" s="3" t="s">
        <v>3</v>
      </c>
      <c r="B7" s="4">
        <f>0</f>
        <v>0</v>
      </c>
      <c r="C7" s="4">
        <f>0</f>
        <v>0</v>
      </c>
    </row>
    <row r="8" spans="1:3" x14ac:dyDescent="0.4">
      <c r="A8" s="3" t="s">
        <v>4</v>
      </c>
      <c r="B8" s="4">
        <f>1759.72</f>
        <v>1759.72</v>
      </c>
      <c r="C8" s="4">
        <f>0</f>
        <v>0</v>
      </c>
    </row>
    <row r="9" spans="1:3" x14ac:dyDescent="0.4">
      <c r="A9" s="3" t="s">
        <v>5</v>
      </c>
      <c r="B9" s="4">
        <f>9308.13</f>
        <v>9308.1299999999992</v>
      </c>
      <c r="C9" s="4">
        <f>0</f>
        <v>0</v>
      </c>
    </row>
    <row r="10" spans="1:3" x14ac:dyDescent="0.4">
      <c r="A10" s="3" t="s">
        <v>6</v>
      </c>
      <c r="B10" s="4">
        <f>2491060.69</f>
        <v>2491060.69</v>
      </c>
      <c r="C10" s="4">
        <f>0</f>
        <v>0</v>
      </c>
    </row>
    <row r="11" spans="1:3" x14ac:dyDescent="0.4">
      <c r="A11" s="3" t="s">
        <v>7</v>
      </c>
      <c r="B11" s="4">
        <f>0</f>
        <v>0</v>
      </c>
      <c r="C11" s="4">
        <f>0</f>
        <v>0</v>
      </c>
    </row>
    <row r="12" spans="1:3" x14ac:dyDescent="0.4">
      <c r="A12" s="3" t="s">
        <v>8</v>
      </c>
      <c r="B12" s="4">
        <f>0</f>
        <v>0</v>
      </c>
      <c r="C12" s="4">
        <f>542381.53</f>
        <v>542381.53</v>
      </c>
    </row>
    <row r="13" spans="1:3" x14ac:dyDescent="0.4">
      <c r="A13" s="3" t="s">
        <v>9</v>
      </c>
      <c r="B13" s="4">
        <f>0</f>
        <v>0</v>
      </c>
      <c r="C13" s="4">
        <f>0</f>
        <v>0</v>
      </c>
    </row>
    <row r="14" spans="1:3" x14ac:dyDescent="0.4">
      <c r="A14" s="3" t="s">
        <v>10</v>
      </c>
      <c r="B14" s="4">
        <f>0</f>
        <v>0</v>
      </c>
      <c r="C14" s="4">
        <f>0</f>
        <v>0</v>
      </c>
    </row>
    <row r="15" spans="1:3" x14ac:dyDescent="0.4">
      <c r="A15" s="3" t="s">
        <v>11</v>
      </c>
      <c r="B15" s="4">
        <f>18925.55</f>
        <v>18925.55</v>
      </c>
      <c r="C15" s="4">
        <f>0</f>
        <v>0</v>
      </c>
    </row>
    <row r="16" spans="1:3" x14ac:dyDescent="0.4">
      <c r="A16" s="3" t="s">
        <v>12</v>
      </c>
      <c r="B16" s="4">
        <f>0</f>
        <v>0</v>
      </c>
      <c r="C16" s="4">
        <f>0</f>
        <v>0</v>
      </c>
    </row>
    <row r="17" spans="1:3" x14ac:dyDescent="0.4">
      <c r="A17" s="3" t="s">
        <v>13</v>
      </c>
      <c r="B17" s="4">
        <f>56865</f>
        <v>56865</v>
      </c>
      <c r="C17" s="4">
        <f>0</f>
        <v>0</v>
      </c>
    </row>
    <row r="18" spans="1:3" x14ac:dyDescent="0.4">
      <c r="A18" s="3" t="s">
        <v>14</v>
      </c>
      <c r="B18" s="4">
        <f>62788.64</f>
        <v>62788.639999999999</v>
      </c>
      <c r="C18" s="4">
        <f>0</f>
        <v>0</v>
      </c>
    </row>
    <row r="19" spans="1:3" x14ac:dyDescent="0.4">
      <c r="A19" s="3" t="s">
        <v>15</v>
      </c>
      <c r="B19" s="4">
        <f>1284</f>
        <v>1284</v>
      </c>
      <c r="C19" s="4">
        <f>0</f>
        <v>0</v>
      </c>
    </row>
    <row r="20" spans="1:3" x14ac:dyDescent="0.4">
      <c r="A20" s="3" t="s">
        <v>16</v>
      </c>
      <c r="B20" s="4">
        <f>355572.18</f>
        <v>355572.18</v>
      </c>
      <c r="C20" s="4">
        <f>0</f>
        <v>0</v>
      </c>
    </row>
    <row r="21" spans="1:3" x14ac:dyDescent="0.4">
      <c r="A21" s="3" t="s">
        <v>17</v>
      </c>
      <c r="B21" s="4">
        <f>0</f>
        <v>0</v>
      </c>
      <c r="C21" s="4">
        <f>300581</f>
        <v>300581</v>
      </c>
    </row>
    <row r="22" spans="1:3" x14ac:dyDescent="0.4">
      <c r="A22" s="3" t="s">
        <v>18</v>
      </c>
      <c r="B22" s="4">
        <f>40088.3</f>
        <v>40088.300000000003</v>
      </c>
      <c r="C22" s="4">
        <f>0</f>
        <v>0</v>
      </c>
    </row>
    <row r="23" spans="1:3" x14ac:dyDescent="0.4">
      <c r="A23" s="3" t="s">
        <v>19</v>
      </c>
      <c r="B23" s="4">
        <f>0</f>
        <v>0</v>
      </c>
      <c r="C23" s="4">
        <f>29805.31</f>
        <v>29805.31</v>
      </c>
    </row>
    <row r="24" spans="1:3" x14ac:dyDescent="0.4">
      <c r="A24" s="3" t="s">
        <v>20</v>
      </c>
      <c r="B24" s="4">
        <f>0</f>
        <v>0</v>
      </c>
      <c r="C24" s="4">
        <f>57521.3</f>
        <v>57521.3</v>
      </c>
    </row>
    <row r="25" spans="1:3" x14ac:dyDescent="0.4">
      <c r="A25" s="3" t="s">
        <v>21</v>
      </c>
      <c r="B25" s="4">
        <f>0</f>
        <v>0</v>
      </c>
      <c r="C25" s="4">
        <f>43087</f>
        <v>43087</v>
      </c>
    </row>
    <row r="26" spans="1:3" x14ac:dyDescent="0.4">
      <c r="A26" s="3" t="s">
        <v>22</v>
      </c>
      <c r="B26" s="4">
        <f>0</f>
        <v>0</v>
      </c>
      <c r="C26" s="4">
        <f>10746.3</f>
        <v>10746.3</v>
      </c>
    </row>
    <row r="27" spans="1:3" x14ac:dyDescent="0.4">
      <c r="A27" s="3" t="s">
        <v>23</v>
      </c>
      <c r="B27" s="4">
        <f>6003.04</f>
        <v>6003.04</v>
      </c>
      <c r="C27" s="4">
        <f>0</f>
        <v>0</v>
      </c>
    </row>
    <row r="28" spans="1:3" x14ac:dyDescent="0.4">
      <c r="A28" s="3" t="s">
        <v>24</v>
      </c>
      <c r="B28" s="4">
        <f>0</f>
        <v>0</v>
      </c>
      <c r="C28" s="4">
        <f>84.19</f>
        <v>84.19</v>
      </c>
    </row>
    <row r="29" spans="1:3" x14ac:dyDescent="0.4">
      <c r="A29" s="3" t="s">
        <v>25</v>
      </c>
      <c r="B29" s="4">
        <f>0</f>
        <v>0</v>
      </c>
      <c r="C29" s="4">
        <f>647.18</f>
        <v>647.17999999999995</v>
      </c>
    </row>
    <row r="30" spans="1:3" x14ac:dyDescent="0.4">
      <c r="A30" s="3" t="s">
        <v>26</v>
      </c>
      <c r="B30" s="4">
        <f>0</f>
        <v>0</v>
      </c>
      <c r="C30" s="4">
        <f>139569</f>
        <v>139569</v>
      </c>
    </row>
    <row r="31" spans="1:3" x14ac:dyDescent="0.4">
      <c r="A31" s="3" t="s">
        <v>27</v>
      </c>
      <c r="B31" s="4">
        <f>0</f>
        <v>0</v>
      </c>
      <c r="C31" s="4">
        <f>0</f>
        <v>0</v>
      </c>
    </row>
    <row r="32" spans="1:3" x14ac:dyDescent="0.4">
      <c r="A32" s="3" t="s">
        <v>28</v>
      </c>
      <c r="B32" s="4">
        <f>0</f>
        <v>0</v>
      </c>
      <c r="C32" s="4">
        <f>101791</f>
        <v>101791</v>
      </c>
    </row>
    <row r="33" spans="1:3" x14ac:dyDescent="0.4">
      <c r="A33" s="3" t="s">
        <v>29</v>
      </c>
      <c r="B33" s="4">
        <f>0</f>
        <v>0</v>
      </c>
      <c r="C33" s="4">
        <f>91059.67</f>
        <v>91059.67</v>
      </c>
    </row>
    <row r="34" spans="1:3" x14ac:dyDescent="0.4">
      <c r="A34" s="3" t="s">
        <v>30</v>
      </c>
      <c r="B34" s="4">
        <f>120070.86</f>
        <v>120070.86</v>
      </c>
      <c r="C34" s="4">
        <f>0</f>
        <v>0</v>
      </c>
    </row>
    <row r="35" spans="1:3" x14ac:dyDescent="0.4">
      <c r="A35" s="3" t="s">
        <v>31</v>
      </c>
      <c r="B35" s="4">
        <f>0</f>
        <v>0</v>
      </c>
      <c r="C35" s="4">
        <f>94.55</f>
        <v>94.55</v>
      </c>
    </row>
    <row r="36" spans="1:3" x14ac:dyDescent="0.4">
      <c r="A36" s="3" t="s">
        <v>32</v>
      </c>
      <c r="B36" s="4">
        <f>0</f>
        <v>0</v>
      </c>
      <c r="C36" s="4">
        <f>0</f>
        <v>0</v>
      </c>
    </row>
    <row r="37" spans="1:3" x14ac:dyDescent="0.4">
      <c r="A37" s="3" t="s">
        <v>33</v>
      </c>
      <c r="B37" s="4">
        <f>0</f>
        <v>0</v>
      </c>
      <c r="C37" s="4">
        <f>0</f>
        <v>0</v>
      </c>
    </row>
    <row r="38" spans="1:3" x14ac:dyDescent="0.4">
      <c r="A38" s="3" t="s">
        <v>34</v>
      </c>
      <c r="B38" s="4">
        <f>0</f>
        <v>0</v>
      </c>
      <c r="C38" s="4">
        <f>100</f>
        <v>100</v>
      </c>
    </row>
    <row r="39" spans="1:3" x14ac:dyDescent="0.4">
      <c r="A39" s="3" t="s">
        <v>35</v>
      </c>
      <c r="B39" s="4">
        <f>0</f>
        <v>0</v>
      </c>
      <c r="C39" s="4">
        <f>0</f>
        <v>0</v>
      </c>
    </row>
    <row r="40" spans="1:3" x14ac:dyDescent="0.4">
      <c r="A40" s="3" t="s">
        <v>36</v>
      </c>
      <c r="B40" s="4">
        <f>96943.42</f>
        <v>96943.42</v>
      </c>
      <c r="C40" s="4">
        <f>0</f>
        <v>0</v>
      </c>
    </row>
    <row r="41" spans="1:3" x14ac:dyDescent="0.4">
      <c r="A41" s="3" t="s">
        <v>37</v>
      </c>
      <c r="B41" s="4">
        <f>0</f>
        <v>0</v>
      </c>
      <c r="C41" s="4">
        <f>0</f>
        <v>0</v>
      </c>
    </row>
    <row r="42" spans="1:3" x14ac:dyDescent="0.4">
      <c r="A42" s="3" t="s">
        <v>38</v>
      </c>
      <c r="B42" s="4">
        <f>69717</f>
        <v>69717</v>
      </c>
      <c r="C42" s="4">
        <f>0</f>
        <v>0</v>
      </c>
    </row>
    <row r="43" spans="1:3" x14ac:dyDescent="0.4">
      <c r="A43" s="3" t="s">
        <v>39</v>
      </c>
      <c r="B43" s="4">
        <f>0</f>
        <v>0</v>
      </c>
      <c r="C43" s="4">
        <f>16601836.18</f>
        <v>16601836.18</v>
      </c>
    </row>
    <row r="44" spans="1:3" x14ac:dyDescent="0.4">
      <c r="A44" s="3" t="s">
        <v>40</v>
      </c>
      <c r="B44" s="4">
        <f>0</f>
        <v>0</v>
      </c>
      <c r="C44" s="4">
        <f>3470</f>
        <v>3470</v>
      </c>
    </row>
    <row r="45" spans="1:3" x14ac:dyDescent="0.4">
      <c r="A45" s="3" t="s">
        <v>41</v>
      </c>
      <c r="B45" s="4">
        <f>0</f>
        <v>0</v>
      </c>
      <c r="C45" s="4">
        <f>19934.34</f>
        <v>19934.34</v>
      </c>
    </row>
    <row r="46" spans="1:3" x14ac:dyDescent="0.4">
      <c r="A46" s="3" t="s">
        <v>42</v>
      </c>
      <c r="B46" s="4">
        <f>0</f>
        <v>0</v>
      </c>
      <c r="C46" s="4">
        <f>28994.66</f>
        <v>28994.66</v>
      </c>
    </row>
    <row r="47" spans="1:3" x14ac:dyDescent="0.4">
      <c r="A47" s="3" t="s">
        <v>43</v>
      </c>
      <c r="B47" s="4">
        <f>0</f>
        <v>0</v>
      </c>
      <c r="C47" s="4">
        <f>8079.45</f>
        <v>8079.45</v>
      </c>
    </row>
    <row r="48" spans="1:3" x14ac:dyDescent="0.4">
      <c r="A48" s="3" t="s">
        <v>44</v>
      </c>
      <c r="B48" s="4">
        <f>0</f>
        <v>0</v>
      </c>
      <c r="C48" s="4">
        <f>869.71</f>
        <v>869.71</v>
      </c>
    </row>
    <row r="49" spans="1:3" x14ac:dyDescent="0.4">
      <c r="A49" s="3" t="s">
        <v>45</v>
      </c>
      <c r="B49" s="4">
        <f>0</f>
        <v>0</v>
      </c>
      <c r="C49" s="4">
        <f>363.52</f>
        <v>363.52</v>
      </c>
    </row>
    <row r="50" spans="1:3" x14ac:dyDescent="0.4">
      <c r="A50" s="3" t="s">
        <v>46</v>
      </c>
      <c r="B50" s="4">
        <f>0</f>
        <v>0</v>
      </c>
      <c r="C50" s="4">
        <f>1231.82</f>
        <v>1231.82</v>
      </c>
    </row>
    <row r="51" spans="1:3" x14ac:dyDescent="0.4">
      <c r="A51" s="3" t="s">
        <v>47</v>
      </c>
      <c r="B51" s="4">
        <f>2301.6</f>
        <v>2301.6</v>
      </c>
      <c r="C51" s="4">
        <f>0</f>
        <v>0</v>
      </c>
    </row>
    <row r="52" spans="1:3" x14ac:dyDescent="0.4">
      <c r="A52" s="3" t="s">
        <v>48</v>
      </c>
      <c r="B52" s="4">
        <f>774.67</f>
        <v>774.67</v>
      </c>
      <c r="C52" s="4">
        <f>0</f>
        <v>0</v>
      </c>
    </row>
    <row r="53" spans="1:3" x14ac:dyDescent="0.4">
      <c r="A53" s="3" t="s">
        <v>49</v>
      </c>
      <c r="B53" s="4">
        <f>0</f>
        <v>0</v>
      </c>
      <c r="C53" s="4">
        <f>6602.5</f>
        <v>6602.5</v>
      </c>
    </row>
    <row r="54" spans="1:3" x14ac:dyDescent="0.4">
      <c r="A54" s="3" t="s">
        <v>50</v>
      </c>
      <c r="B54" s="4">
        <f>151.89</f>
        <v>151.88999999999999</v>
      </c>
      <c r="C54" s="4">
        <f>0</f>
        <v>0</v>
      </c>
    </row>
    <row r="55" spans="1:3" x14ac:dyDescent="0.4">
      <c r="A55" s="3" t="s">
        <v>51</v>
      </c>
      <c r="B55" s="4">
        <f>2844.86</f>
        <v>2844.86</v>
      </c>
      <c r="C55" s="4">
        <f>0</f>
        <v>0</v>
      </c>
    </row>
    <row r="56" spans="1:3" x14ac:dyDescent="0.4">
      <c r="A56" s="3" t="s">
        <v>52</v>
      </c>
      <c r="B56" s="4">
        <f>105238.4</f>
        <v>105238.39999999999</v>
      </c>
      <c r="C56" s="4">
        <f>0</f>
        <v>0</v>
      </c>
    </row>
    <row r="57" spans="1:3" x14ac:dyDescent="0.4">
      <c r="A57" s="3" t="s">
        <v>53</v>
      </c>
      <c r="B57" s="4">
        <f>14.68</f>
        <v>14.68</v>
      </c>
      <c r="C57" s="4">
        <f>0</f>
        <v>0</v>
      </c>
    </row>
    <row r="58" spans="1:3" x14ac:dyDescent="0.4">
      <c r="A58" s="3" t="s">
        <v>54</v>
      </c>
      <c r="B58" s="4">
        <f>28519.74</f>
        <v>28519.74</v>
      </c>
      <c r="C58" s="4">
        <f>0</f>
        <v>0</v>
      </c>
    </row>
    <row r="59" spans="1:3" x14ac:dyDescent="0.4">
      <c r="A59" s="3" t="s">
        <v>55</v>
      </c>
      <c r="B59" s="4">
        <f>3705702.26</f>
        <v>3705702.26</v>
      </c>
      <c r="C59" s="4">
        <f>0</f>
        <v>0</v>
      </c>
    </row>
    <row r="60" spans="1:3" x14ac:dyDescent="0.4">
      <c r="A60" s="3" t="s">
        <v>56</v>
      </c>
      <c r="B60" s="4">
        <f>314016.66</f>
        <v>314016.65999999997</v>
      </c>
      <c r="C60" s="4">
        <f>0</f>
        <v>0</v>
      </c>
    </row>
    <row r="61" spans="1:3" x14ac:dyDescent="0.4">
      <c r="A61" s="3" t="s">
        <v>57</v>
      </c>
      <c r="B61" s="4">
        <f>11647.97</f>
        <v>11647.97</v>
      </c>
      <c r="C61" s="4">
        <f>0</f>
        <v>0</v>
      </c>
    </row>
    <row r="62" spans="1:3" x14ac:dyDescent="0.4">
      <c r="A62" s="3" t="s">
        <v>58</v>
      </c>
      <c r="B62" s="4">
        <f>376197.95</f>
        <v>376197.95</v>
      </c>
      <c r="C62" s="4">
        <f>0</f>
        <v>0</v>
      </c>
    </row>
    <row r="63" spans="1:3" x14ac:dyDescent="0.4">
      <c r="A63" s="3" t="s">
        <v>59</v>
      </c>
      <c r="B63" s="4">
        <f>160076.89</f>
        <v>160076.89000000001</v>
      </c>
      <c r="C63" s="4">
        <f>0</f>
        <v>0</v>
      </c>
    </row>
    <row r="64" spans="1:3" x14ac:dyDescent="0.4">
      <c r="A64" s="3" t="s">
        <v>60</v>
      </c>
      <c r="B64" s="4">
        <f>58138.3</f>
        <v>58138.3</v>
      </c>
      <c r="C64" s="4">
        <f>0</f>
        <v>0</v>
      </c>
    </row>
    <row r="65" spans="1:3" x14ac:dyDescent="0.4">
      <c r="A65" s="3" t="s">
        <v>61</v>
      </c>
      <c r="B65" s="4">
        <f>13989.49</f>
        <v>13989.49</v>
      </c>
      <c r="C65" s="4">
        <f>0</f>
        <v>0</v>
      </c>
    </row>
    <row r="66" spans="1:3" x14ac:dyDescent="0.4">
      <c r="A66" s="3" t="s">
        <v>62</v>
      </c>
      <c r="B66" s="4">
        <f>85341.01</f>
        <v>85341.01</v>
      </c>
      <c r="C66" s="4">
        <f>0</f>
        <v>0</v>
      </c>
    </row>
    <row r="67" spans="1:3" x14ac:dyDescent="0.4">
      <c r="A67" s="3" t="s">
        <v>63</v>
      </c>
      <c r="B67" s="4">
        <f>490097.13</f>
        <v>490097.13</v>
      </c>
      <c r="C67" s="4">
        <f>0</f>
        <v>0</v>
      </c>
    </row>
    <row r="68" spans="1:3" x14ac:dyDescent="0.4">
      <c r="A68" s="3" t="s">
        <v>64</v>
      </c>
      <c r="B68" s="4">
        <f>21121.21</f>
        <v>21121.21</v>
      </c>
      <c r="C68" s="4">
        <f>0</f>
        <v>0</v>
      </c>
    </row>
    <row r="69" spans="1:3" x14ac:dyDescent="0.4">
      <c r="A69" s="3" t="s">
        <v>65</v>
      </c>
      <c r="B69" s="4">
        <f>38681.45</f>
        <v>38681.449999999997</v>
      </c>
      <c r="C69" s="4">
        <f>0</f>
        <v>0</v>
      </c>
    </row>
    <row r="70" spans="1:3" x14ac:dyDescent="0.4">
      <c r="A70" s="3" t="s">
        <v>66</v>
      </c>
      <c r="B70" s="4">
        <f>11145.11</f>
        <v>11145.11</v>
      </c>
      <c r="C70" s="4">
        <f>0</f>
        <v>0</v>
      </c>
    </row>
    <row r="71" spans="1:3" x14ac:dyDescent="0.4">
      <c r="A71" s="3" t="s">
        <v>67</v>
      </c>
      <c r="B71" s="4">
        <f>8474.99</f>
        <v>8474.99</v>
      </c>
      <c r="C71" s="4">
        <f>0</f>
        <v>0</v>
      </c>
    </row>
    <row r="72" spans="1:3" x14ac:dyDescent="0.4">
      <c r="A72" s="3" t="s">
        <v>68</v>
      </c>
      <c r="B72" s="4">
        <f>30967.71</f>
        <v>30967.71</v>
      </c>
      <c r="C72" s="4">
        <f>0</f>
        <v>0</v>
      </c>
    </row>
    <row r="73" spans="1:3" x14ac:dyDescent="0.4">
      <c r="A73" s="3" t="s">
        <v>69</v>
      </c>
      <c r="B73" s="4">
        <f>65983.41</f>
        <v>65983.41</v>
      </c>
      <c r="C73" s="4">
        <f>0</f>
        <v>0</v>
      </c>
    </row>
    <row r="74" spans="1:3" x14ac:dyDescent="0.4">
      <c r="A74" s="3" t="s">
        <v>70</v>
      </c>
      <c r="B74" s="4">
        <f>78210.54</f>
        <v>78210.539999999994</v>
      </c>
      <c r="C74" s="4">
        <f>0</f>
        <v>0</v>
      </c>
    </row>
    <row r="75" spans="1:3" x14ac:dyDescent="0.4">
      <c r="A75" s="3" t="s">
        <v>71</v>
      </c>
      <c r="B75" s="4">
        <f>69.5</f>
        <v>69.5</v>
      </c>
      <c r="C75" s="4">
        <f>0</f>
        <v>0</v>
      </c>
    </row>
    <row r="76" spans="1:3" x14ac:dyDescent="0.4">
      <c r="A76" s="3" t="s">
        <v>72</v>
      </c>
      <c r="B76" s="4">
        <f>155819.87</f>
        <v>155819.87</v>
      </c>
      <c r="C76" s="4">
        <f>0</f>
        <v>0</v>
      </c>
    </row>
    <row r="77" spans="1:3" x14ac:dyDescent="0.4">
      <c r="A77" s="3" t="s">
        <v>73</v>
      </c>
      <c r="B77" s="4">
        <f>2212.01</f>
        <v>2212.0100000000002</v>
      </c>
      <c r="C77" s="4">
        <f>0</f>
        <v>0</v>
      </c>
    </row>
    <row r="78" spans="1:3" x14ac:dyDescent="0.4">
      <c r="A78" s="3" t="s">
        <v>74</v>
      </c>
      <c r="B78" s="4">
        <f>3555.03</f>
        <v>3555.03</v>
      </c>
      <c r="C78" s="4">
        <f>0</f>
        <v>0</v>
      </c>
    </row>
    <row r="79" spans="1:3" x14ac:dyDescent="0.4">
      <c r="A79" s="3" t="s">
        <v>75</v>
      </c>
      <c r="B79" s="4">
        <f>85640.59</f>
        <v>85640.59</v>
      </c>
      <c r="C79" s="4">
        <f>0</f>
        <v>0</v>
      </c>
    </row>
    <row r="80" spans="1:3" x14ac:dyDescent="0.4">
      <c r="A80" s="3" t="s">
        <v>76</v>
      </c>
      <c r="B80" s="4">
        <f>160614.15</f>
        <v>160614.15</v>
      </c>
      <c r="C80" s="4">
        <f>0</f>
        <v>0</v>
      </c>
    </row>
    <row r="81" spans="1:3" x14ac:dyDescent="0.4">
      <c r="A81" s="3" t="s">
        <v>77</v>
      </c>
      <c r="B81" s="4">
        <f>1898.6</f>
        <v>1898.6</v>
      </c>
      <c r="C81" s="4">
        <f>0</f>
        <v>0</v>
      </c>
    </row>
    <row r="82" spans="1:3" x14ac:dyDescent="0.4">
      <c r="A82" s="3" t="s">
        <v>78</v>
      </c>
      <c r="B82" s="4">
        <f>1600</f>
        <v>1600</v>
      </c>
      <c r="C82" s="4">
        <f>0</f>
        <v>0</v>
      </c>
    </row>
    <row r="83" spans="1:3" x14ac:dyDescent="0.4">
      <c r="A83" s="3" t="s">
        <v>79</v>
      </c>
      <c r="B83" s="4">
        <f>972349.36</f>
        <v>972349.36</v>
      </c>
      <c r="C83" s="4">
        <f>0</f>
        <v>0</v>
      </c>
    </row>
    <row r="84" spans="1:3" x14ac:dyDescent="0.4">
      <c r="A84" s="3" t="s">
        <v>80</v>
      </c>
      <c r="B84" s="4">
        <f>1567052.22</f>
        <v>1567052.22</v>
      </c>
      <c r="C84" s="4">
        <f>0</f>
        <v>0</v>
      </c>
    </row>
    <row r="85" spans="1:3" x14ac:dyDescent="0.4">
      <c r="A85" s="3" t="s">
        <v>81</v>
      </c>
      <c r="B85" s="4">
        <f>89643.91</f>
        <v>89643.91</v>
      </c>
      <c r="C85" s="4">
        <f>0</f>
        <v>0</v>
      </c>
    </row>
    <row r="86" spans="1:3" x14ac:dyDescent="0.4">
      <c r="A86" s="3" t="s">
        <v>82</v>
      </c>
      <c r="B86" s="4">
        <f>567292.55</f>
        <v>567292.55000000005</v>
      </c>
      <c r="C86" s="4">
        <f>0</f>
        <v>0</v>
      </c>
    </row>
    <row r="87" spans="1:3" x14ac:dyDescent="0.4">
      <c r="A87" s="3" t="s">
        <v>83</v>
      </c>
      <c r="B87" s="4">
        <f>6284.44</f>
        <v>6284.44</v>
      </c>
      <c r="C87" s="4">
        <f>0</f>
        <v>0</v>
      </c>
    </row>
    <row r="88" spans="1:3" x14ac:dyDescent="0.4">
      <c r="A88" s="3" t="s">
        <v>84</v>
      </c>
      <c r="B88" s="4">
        <f>61129.84</f>
        <v>61129.84</v>
      </c>
      <c r="C88" s="4">
        <f>0</f>
        <v>0</v>
      </c>
    </row>
    <row r="89" spans="1:3" x14ac:dyDescent="0.4">
      <c r="A89" s="3" t="s">
        <v>85</v>
      </c>
      <c r="B89" s="4">
        <f>11363.11</f>
        <v>11363.11</v>
      </c>
      <c r="C89" s="4">
        <f>0</f>
        <v>0</v>
      </c>
    </row>
    <row r="90" spans="1:3" x14ac:dyDescent="0.4">
      <c r="A90" s="3" t="s">
        <v>86</v>
      </c>
      <c r="B90" s="4">
        <f>479554.62</f>
        <v>479554.62</v>
      </c>
      <c r="C90" s="4">
        <f>0</f>
        <v>0</v>
      </c>
    </row>
    <row r="91" spans="1:3" x14ac:dyDescent="0.4">
      <c r="A91" s="3" t="s">
        <v>87</v>
      </c>
      <c r="B91" s="4">
        <f>2413.77</f>
        <v>2413.77</v>
      </c>
      <c r="C91" s="4">
        <f>0</f>
        <v>0</v>
      </c>
    </row>
    <row r="92" spans="1:3" x14ac:dyDescent="0.4">
      <c r="A92" s="3" t="s">
        <v>88</v>
      </c>
      <c r="B92" s="4">
        <f>63449.63</f>
        <v>63449.63</v>
      </c>
      <c r="C92" s="4">
        <f>0</f>
        <v>0</v>
      </c>
    </row>
    <row r="93" spans="1:3" x14ac:dyDescent="0.4">
      <c r="A93" s="3" t="s">
        <v>89</v>
      </c>
      <c r="B93" s="4">
        <f>3441.23</f>
        <v>3441.23</v>
      </c>
      <c r="C93" s="4">
        <f>0</f>
        <v>0</v>
      </c>
    </row>
    <row r="94" spans="1:3" x14ac:dyDescent="0.4">
      <c r="A94" s="3" t="s">
        <v>90</v>
      </c>
      <c r="B94" s="4">
        <f>2240.08</f>
        <v>2240.08</v>
      </c>
      <c r="C94" s="4">
        <f>0</f>
        <v>0</v>
      </c>
    </row>
    <row r="95" spans="1:3" x14ac:dyDescent="0.4">
      <c r="A95" s="3" t="s">
        <v>91</v>
      </c>
      <c r="B95" s="4">
        <f>10085.78</f>
        <v>10085.780000000001</v>
      </c>
      <c r="C95" s="4">
        <f>0</f>
        <v>0</v>
      </c>
    </row>
    <row r="96" spans="1:3" x14ac:dyDescent="0.4">
      <c r="A96" s="3" t="s">
        <v>92</v>
      </c>
      <c r="B96" s="4">
        <f>5860.09</f>
        <v>5860.09</v>
      </c>
      <c r="C96" s="4">
        <f>0</f>
        <v>0</v>
      </c>
    </row>
    <row r="97" spans="1:3" x14ac:dyDescent="0.4">
      <c r="A97" s="3" t="s">
        <v>93</v>
      </c>
      <c r="B97" s="4">
        <f>2745.9</f>
        <v>2745.9</v>
      </c>
      <c r="C97" s="4">
        <f>0</f>
        <v>0</v>
      </c>
    </row>
    <row r="98" spans="1:3" x14ac:dyDescent="0.4">
      <c r="A98" s="3" t="s">
        <v>94</v>
      </c>
      <c r="B98" s="4">
        <f>1672.4</f>
        <v>1672.4</v>
      </c>
      <c r="C98" s="4">
        <f>0</f>
        <v>0</v>
      </c>
    </row>
    <row r="99" spans="1:3" x14ac:dyDescent="0.4">
      <c r="A99" s="3" t="s">
        <v>95</v>
      </c>
      <c r="B99" s="4">
        <f>3187.86</f>
        <v>3187.86</v>
      </c>
      <c r="C99" s="4">
        <f>0</f>
        <v>0</v>
      </c>
    </row>
    <row r="100" spans="1:3" x14ac:dyDescent="0.4">
      <c r="A100" s="3" t="s">
        <v>96</v>
      </c>
      <c r="B100" s="4">
        <f>19306.26</f>
        <v>19306.259999999998</v>
      </c>
      <c r="C100" s="4">
        <f>0</f>
        <v>0</v>
      </c>
    </row>
    <row r="101" spans="1:3" x14ac:dyDescent="0.4">
      <c r="A101" s="3" t="s">
        <v>97</v>
      </c>
      <c r="B101" s="4">
        <f>7609.91</f>
        <v>7609.91</v>
      </c>
      <c r="C101" s="4">
        <f>0</f>
        <v>0</v>
      </c>
    </row>
    <row r="102" spans="1:3" x14ac:dyDescent="0.4">
      <c r="A102" s="3" t="s">
        <v>98</v>
      </c>
      <c r="B102" s="4">
        <f>405394.17</f>
        <v>405394.17</v>
      </c>
      <c r="C102" s="4">
        <f>0</f>
        <v>0</v>
      </c>
    </row>
    <row r="103" spans="1:3" x14ac:dyDescent="0.4">
      <c r="A103" s="3" t="s">
        <v>99</v>
      </c>
      <c r="B103" s="4">
        <f>40629.15</f>
        <v>40629.15</v>
      </c>
      <c r="C103" s="4">
        <f>0</f>
        <v>0</v>
      </c>
    </row>
    <row r="104" spans="1:3" x14ac:dyDescent="0.4">
      <c r="A104" s="3" t="s">
        <v>100</v>
      </c>
      <c r="B104" s="4">
        <f>19120.42</f>
        <v>19120.419999999998</v>
      </c>
      <c r="C104" s="4">
        <f>0</f>
        <v>0</v>
      </c>
    </row>
    <row r="105" spans="1:3" x14ac:dyDescent="0.4">
      <c r="A105" s="3" t="s">
        <v>101</v>
      </c>
      <c r="B105" s="4">
        <f>11651.74</f>
        <v>11651.74</v>
      </c>
      <c r="C105" s="4">
        <f>0</f>
        <v>0</v>
      </c>
    </row>
    <row r="106" spans="1:3" x14ac:dyDescent="0.4">
      <c r="A106" s="3" t="s">
        <v>102</v>
      </c>
      <c r="B106" s="4">
        <f>71731.91</f>
        <v>71731.91</v>
      </c>
      <c r="C106" s="4">
        <f>0</f>
        <v>0</v>
      </c>
    </row>
    <row r="107" spans="1:3" x14ac:dyDescent="0.4">
      <c r="A107" s="3" t="s">
        <v>103</v>
      </c>
      <c r="B107" s="4">
        <f>820.44</f>
        <v>820.44</v>
      </c>
      <c r="C107" s="4">
        <f>0</f>
        <v>0</v>
      </c>
    </row>
    <row r="108" spans="1:3" x14ac:dyDescent="0.4">
      <c r="A108" s="3" t="s">
        <v>104</v>
      </c>
      <c r="B108" s="4">
        <f>138.39</f>
        <v>138.38999999999999</v>
      </c>
      <c r="C108" s="4">
        <f>0</f>
        <v>0</v>
      </c>
    </row>
    <row r="109" spans="1:3" x14ac:dyDescent="0.4">
      <c r="A109" s="3" t="s">
        <v>105</v>
      </c>
      <c r="B109" s="4">
        <f>16564.14</f>
        <v>16564.14</v>
      </c>
      <c r="C109" s="4">
        <f>0</f>
        <v>0</v>
      </c>
    </row>
    <row r="110" spans="1:3" x14ac:dyDescent="0.4">
      <c r="A110" s="3" t="s">
        <v>106</v>
      </c>
      <c r="B110" s="4">
        <f>91708.73</f>
        <v>91708.73</v>
      </c>
      <c r="C110" s="4">
        <f>0</f>
        <v>0</v>
      </c>
    </row>
    <row r="111" spans="1:3" x14ac:dyDescent="0.4">
      <c r="A111" s="3" t="s">
        <v>107</v>
      </c>
      <c r="B111" s="4">
        <f>62157.05</f>
        <v>62157.05</v>
      </c>
      <c r="C111" s="4">
        <f>0</f>
        <v>0</v>
      </c>
    </row>
    <row r="112" spans="1:3" x14ac:dyDescent="0.4">
      <c r="A112" s="3" t="s">
        <v>108</v>
      </c>
      <c r="B112" s="4">
        <f>4500</f>
        <v>4500</v>
      </c>
      <c r="C112" s="4">
        <f>0</f>
        <v>0</v>
      </c>
    </row>
    <row r="113" spans="1:3" x14ac:dyDescent="0.4">
      <c r="A113" s="3" t="s">
        <v>109</v>
      </c>
      <c r="B113" s="4">
        <f>86827.54</f>
        <v>86827.54</v>
      </c>
      <c r="C113" s="4">
        <f>0</f>
        <v>0</v>
      </c>
    </row>
    <row r="114" spans="1:3" x14ac:dyDescent="0.4">
      <c r="A114" s="3" t="s">
        <v>110</v>
      </c>
      <c r="B114" s="4">
        <f>24726</f>
        <v>24726</v>
      </c>
      <c r="C114" s="4">
        <f>0</f>
        <v>0</v>
      </c>
    </row>
    <row r="115" spans="1:3" x14ac:dyDescent="0.4">
      <c r="A115" s="3" t="s">
        <v>111</v>
      </c>
      <c r="B115" s="4">
        <f>116622.43</f>
        <v>116622.43</v>
      </c>
      <c r="C115" s="4">
        <f>0</f>
        <v>0</v>
      </c>
    </row>
    <row r="116" spans="1:3" x14ac:dyDescent="0.4">
      <c r="A116" s="3" t="s">
        <v>112</v>
      </c>
      <c r="B116" s="4">
        <f>4841.81</f>
        <v>4841.8100000000004</v>
      </c>
      <c r="C116" s="4">
        <f>0</f>
        <v>0</v>
      </c>
    </row>
    <row r="117" spans="1:3" x14ac:dyDescent="0.4">
      <c r="A117" s="3" t="s">
        <v>113</v>
      </c>
      <c r="B117" s="4">
        <f>57182.52</f>
        <v>57182.52</v>
      </c>
      <c r="C117" s="4">
        <f>0</f>
        <v>0</v>
      </c>
    </row>
    <row r="118" spans="1:3" x14ac:dyDescent="0.4">
      <c r="A118" s="3" t="s">
        <v>114</v>
      </c>
      <c r="B118" s="4">
        <f>516.3</f>
        <v>516.29999999999995</v>
      </c>
      <c r="C118" s="4">
        <f>0</f>
        <v>0</v>
      </c>
    </row>
    <row r="119" spans="1:3" x14ac:dyDescent="0.4">
      <c r="A119" s="3" t="s">
        <v>115</v>
      </c>
      <c r="B119" s="4">
        <f>50226.46</f>
        <v>50226.46</v>
      </c>
      <c r="C119" s="4">
        <f>0</f>
        <v>0</v>
      </c>
    </row>
    <row r="120" spans="1:3" x14ac:dyDescent="0.4">
      <c r="A120" s="3" t="s">
        <v>116</v>
      </c>
      <c r="B120" s="4">
        <f>33386.38</f>
        <v>33386.379999999997</v>
      </c>
      <c r="C120" s="4">
        <f>0</f>
        <v>0</v>
      </c>
    </row>
    <row r="121" spans="1:3" x14ac:dyDescent="0.4">
      <c r="A121" s="3" t="s">
        <v>117</v>
      </c>
      <c r="B121" s="4">
        <f>75240.19</f>
        <v>75240.19</v>
      </c>
      <c r="C121" s="4">
        <f>0</f>
        <v>0</v>
      </c>
    </row>
    <row r="122" spans="1:3" x14ac:dyDescent="0.4">
      <c r="A122" s="3" t="s">
        <v>118</v>
      </c>
      <c r="B122" s="4">
        <f>25246.25</f>
        <v>25246.25</v>
      </c>
      <c r="C122" s="4">
        <f>0</f>
        <v>0</v>
      </c>
    </row>
    <row r="123" spans="1:3" x14ac:dyDescent="0.4">
      <c r="A123" s="3" t="s">
        <v>119</v>
      </c>
      <c r="B123" s="4">
        <f>38936.2</f>
        <v>38936.199999999997</v>
      </c>
      <c r="C123" s="4">
        <f>0</f>
        <v>0</v>
      </c>
    </row>
    <row r="124" spans="1:3" x14ac:dyDescent="0.4">
      <c r="A124" s="3" t="s">
        <v>120</v>
      </c>
      <c r="B124" s="4">
        <f>25696.2</f>
        <v>25696.2</v>
      </c>
      <c r="C124" s="4">
        <f>0</f>
        <v>0</v>
      </c>
    </row>
    <row r="125" spans="1:3" x14ac:dyDescent="0.4">
      <c r="A125" s="3" t="s">
        <v>121</v>
      </c>
      <c r="B125" s="4">
        <f>11820.14</f>
        <v>11820.14</v>
      </c>
      <c r="C125" s="4">
        <f>0</f>
        <v>0</v>
      </c>
    </row>
    <row r="126" spans="1:3" x14ac:dyDescent="0.4">
      <c r="A126" s="3" t="s">
        <v>122</v>
      </c>
      <c r="B126" s="4">
        <f>387907.61</f>
        <v>387907.61</v>
      </c>
      <c r="C126" s="4">
        <f>0</f>
        <v>0</v>
      </c>
    </row>
    <row r="127" spans="1:3" x14ac:dyDescent="0.4">
      <c r="A127" s="3" t="s">
        <v>123</v>
      </c>
      <c r="B127" s="4">
        <f>43087</f>
        <v>43087</v>
      </c>
      <c r="C127" s="4">
        <f>0</f>
        <v>0</v>
      </c>
    </row>
    <row r="128" spans="1:3" x14ac:dyDescent="0.4">
      <c r="A128" s="3" t="s">
        <v>124</v>
      </c>
      <c r="B128" s="4">
        <f>113384.08</f>
        <v>113384.08</v>
      </c>
      <c r="C128" s="4">
        <f>0</f>
        <v>0</v>
      </c>
    </row>
    <row r="129" spans="1:3" x14ac:dyDescent="0.4">
      <c r="A129" s="3" t="s">
        <v>125</v>
      </c>
      <c r="B129" s="4">
        <f>300</f>
        <v>300</v>
      </c>
      <c r="C129" s="4">
        <f>0</f>
        <v>0</v>
      </c>
    </row>
    <row r="130" spans="1:3" x14ac:dyDescent="0.4">
      <c r="A130" s="3" t="s">
        <v>126</v>
      </c>
      <c r="B130" s="4">
        <f>145814</f>
        <v>145814</v>
      </c>
      <c r="C130" s="4">
        <f>0</f>
        <v>0</v>
      </c>
    </row>
    <row r="131" spans="1:3" x14ac:dyDescent="0.4">
      <c r="A131" s="3" t="s">
        <v>127</v>
      </c>
      <c r="B131" s="4">
        <f>143.01</f>
        <v>143.01</v>
      </c>
      <c r="C131" s="4">
        <f>0</f>
        <v>0</v>
      </c>
    </row>
    <row r="132" spans="1:3" x14ac:dyDescent="0.4">
      <c r="A132" s="3" t="s">
        <v>128</v>
      </c>
      <c r="B132" s="4">
        <f>14877.84</f>
        <v>14877.84</v>
      </c>
      <c r="C132" s="4">
        <f>0</f>
        <v>0</v>
      </c>
    </row>
    <row r="133" spans="1:3" x14ac:dyDescent="0.4">
      <c r="A133" s="3" t="s">
        <v>129</v>
      </c>
      <c r="B133" s="4">
        <f>80</f>
        <v>80</v>
      </c>
      <c r="C133" s="4">
        <f>0</f>
        <v>0</v>
      </c>
    </row>
    <row r="134" spans="1:3" x14ac:dyDescent="0.4">
      <c r="A134" s="3" t="s">
        <v>130</v>
      </c>
      <c r="B134" s="4">
        <f>1513.54</f>
        <v>1513.54</v>
      </c>
      <c r="C134" s="4">
        <f>0</f>
        <v>0</v>
      </c>
    </row>
    <row r="135" spans="1:3" x14ac:dyDescent="0.4">
      <c r="A135" s="3" t="s">
        <v>131</v>
      </c>
      <c r="B135" s="4">
        <f>25461.79</f>
        <v>25461.79</v>
      </c>
      <c r="C135" s="4">
        <f>0</f>
        <v>0</v>
      </c>
    </row>
    <row r="136" spans="1:3" x14ac:dyDescent="0.4">
      <c r="A136" s="3" t="s">
        <v>132</v>
      </c>
      <c r="B136" s="4">
        <f>115.91</f>
        <v>115.91</v>
      </c>
      <c r="C136" s="4">
        <f>0</f>
        <v>0</v>
      </c>
    </row>
    <row r="137" spans="1:3" x14ac:dyDescent="0.4">
      <c r="A137" s="3" t="s">
        <v>133</v>
      </c>
      <c r="B137" s="4">
        <f>3120.74</f>
        <v>3120.74</v>
      </c>
      <c r="C137" s="4">
        <f>0</f>
        <v>0</v>
      </c>
    </row>
    <row r="138" spans="1:3" x14ac:dyDescent="0.4">
      <c r="A138" s="3" t="s">
        <v>134</v>
      </c>
      <c r="B138" s="4">
        <f>1721.83</f>
        <v>1721.83</v>
      </c>
      <c r="C138" s="4">
        <f>0</f>
        <v>0</v>
      </c>
    </row>
    <row r="139" spans="1:3" x14ac:dyDescent="0.4">
      <c r="A139" s="3" t="s">
        <v>135</v>
      </c>
      <c r="B139" s="4">
        <f>812.96</f>
        <v>812.96</v>
      </c>
      <c r="C139" s="4">
        <f>0</f>
        <v>0</v>
      </c>
    </row>
    <row r="140" spans="1:3" x14ac:dyDescent="0.4">
      <c r="A140" s="3" t="s">
        <v>136</v>
      </c>
      <c r="B140" s="4">
        <f>3539.73</f>
        <v>3539.73</v>
      </c>
      <c r="C140" s="4">
        <f>0</f>
        <v>0</v>
      </c>
    </row>
    <row r="141" spans="1:3" x14ac:dyDescent="0.4">
      <c r="A141" s="3" t="s">
        <v>137</v>
      </c>
      <c r="B141" s="4">
        <f>278516.71</f>
        <v>278516.71000000002</v>
      </c>
      <c r="C141" s="4">
        <f>0</f>
        <v>0</v>
      </c>
    </row>
    <row r="142" spans="1:3" x14ac:dyDescent="0.4">
      <c r="A142" s="3" t="s">
        <v>138</v>
      </c>
      <c r="B142" s="4">
        <f>1042.01</f>
        <v>1042.01</v>
      </c>
      <c r="C142" s="4">
        <f>0</f>
        <v>0</v>
      </c>
    </row>
    <row r="143" spans="1:3" x14ac:dyDescent="0.4">
      <c r="A143" s="3" t="s">
        <v>139</v>
      </c>
      <c r="B143" s="4">
        <f>32928.1</f>
        <v>32928.1</v>
      </c>
      <c r="C143" s="4">
        <f>0</f>
        <v>0</v>
      </c>
    </row>
    <row r="144" spans="1:3" x14ac:dyDescent="0.4">
      <c r="A144" s="3" t="s">
        <v>140</v>
      </c>
      <c r="B144" s="4">
        <f>15397.15</f>
        <v>15397.15</v>
      </c>
      <c r="C144" s="4">
        <f>0</f>
        <v>0</v>
      </c>
    </row>
    <row r="145" spans="1:3" x14ac:dyDescent="0.4">
      <c r="A145" s="3" t="s">
        <v>141</v>
      </c>
      <c r="B145" s="4">
        <f>100.37</f>
        <v>100.37</v>
      </c>
      <c r="C145" s="4">
        <f>0</f>
        <v>0</v>
      </c>
    </row>
    <row r="146" spans="1:3" x14ac:dyDescent="0.4">
      <c r="A146" s="3" t="s">
        <v>142</v>
      </c>
      <c r="B146" s="4">
        <f>7918.62</f>
        <v>7918.62</v>
      </c>
      <c r="C146" s="4">
        <f>0</f>
        <v>0</v>
      </c>
    </row>
    <row r="147" spans="1:3" x14ac:dyDescent="0.4">
      <c r="A147" s="3" t="s">
        <v>143</v>
      </c>
      <c r="B147" s="4">
        <f>1543.93</f>
        <v>1543.93</v>
      </c>
      <c r="C147" s="4">
        <f>0</f>
        <v>0</v>
      </c>
    </row>
    <row r="148" spans="1:3" x14ac:dyDescent="0.4">
      <c r="A148" s="3" t="s">
        <v>144</v>
      </c>
      <c r="B148" s="4">
        <f>4027.67</f>
        <v>4027.67</v>
      </c>
      <c r="C148" s="4">
        <f>0</f>
        <v>0</v>
      </c>
    </row>
    <row r="149" spans="1:3" x14ac:dyDescent="0.4">
      <c r="A149" s="3" t="s">
        <v>145</v>
      </c>
      <c r="B149" s="4">
        <f>56034.79</f>
        <v>56034.79</v>
      </c>
      <c r="C149" s="4">
        <f>0</f>
        <v>0</v>
      </c>
    </row>
    <row r="150" spans="1:3" x14ac:dyDescent="0.4">
      <c r="A150" s="3" t="s">
        <v>146</v>
      </c>
      <c r="B150" s="4">
        <f>42946.48</f>
        <v>42946.48</v>
      </c>
      <c r="C150" s="4">
        <f>0</f>
        <v>0</v>
      </c>
    </row>
    <row r="151" spans="1:3" x14ac:dyDescent="0.4">
      <c r="A151" s="3" t="s">
        <v>147</v>
      </c>
      <c r="B151" s="4">
        <f>39675.21</f>
        <v>39675.21</v>
      </c>
      <c r="C151" s="4">
        <f>0</f>
        <v>0</v>
      </c>
    </row>
    <row r="152" spans="1:3" x14ac:dyDescent="0.4">
      <c r="A152" s="3" t="s">
        <v>148</v>
      </c>
      <c r="B152" s="4">
        <f>12700.19</f>
        <v>12700.19</v>
      </c>
      <c r="C152" s="4">
        <f>0</f>
        <v>0</v>
      </c>
    </row>
    <row r="153" spans="1:3" x14ac:dyDescent="0.4">
      <c r="A153" s="3" t="s">
        <v>149</v>
      </c>
      <c r="B153" s="4">
        <f>21767.64</f>
        <v>21767.64</v>
      </c>
      <c r="C153" s="4">
        <f>0</f>
        <v>0</v>
      </c>
    </row>
    <row r="154" spans="1:3" x14ac:dyDescent="0.4">
      <c r="A154" s="3" t="s">
        <v>150</v>
      </c>
      <c r="B154" s="4">
        <f>7004.6</f>
        <v>7004.6</v>
      </c>
      <c r="C154" s="4">
        <f>0</f>
        <v>0</v>
      </c>
    </row>
    <row r="155" spans="1:3" x14ac:dyDescent="0.4">
      <c r="A155" s="3" t="s">
        <v>151</v>
      </c>
      <c r="B155" s="4">
        <f>83632.22</f>
        <v>83632.22</v>
      </c>
      <c r="C155" s="4">
        <f>0</f>
        <v>0</v>
      </c>
    </row>
    <row r="156" spans="1:3" x14ac:dyDescent="0.4">
      <c r="A156" s="3" t="s">
        <v>152</v>
      </c>
      <c r="B156" s="4">
        <f>50178.73</f>
        <v>50178.73</v>
      </c>
      <c r="C156" s="4">
        <f>0</f>
        <v>0</v>
      </c>
    </row>
    <row r="157" spans="1:3" x14ac:dyDescent="0.4">
      <c r="A157" s="3" t="s">
        <v>153</v>
      </c>
      <c r="B157" s="4">
        <f>0</f>
        <v>0</v>
      </c>
      <c r="C157" s="4">
        <f>17391</f>
        <v>17391</v>
      </c>
    </row>
    <row r="158" spans="1:3" x14ac:dyDescent="0.4">
      <c r="A158" s="3" t="s">
        <v>154</v>
      </c>
      <c r="B158" s="4">
        <f>3004.38</f>
        <v>3004.38</v>
      </c>
      <c r="C158" s="4">
        <f>0</f>
        <v>0</v>
      </c>
    </row>
    <row r="159" spans="1:3" x14ac:dyDescent="0.4">
      <c r="A159" s="3" t="s">
        <v>155</v>
      </c>
      <c r="B159" s="4">
        <f>8023.44</f>
        <v>8023.44</v>
      </c>
      <c r="C159" s="4">
        <f>0</f>
        <v>0</v>
      </c>
    </row>
    <row r="160" spans="1:3" x14ac:dyDescent="0.4">
      <c r="A160" s="3" t="s">
        <v>156</v>
      </c>
      <c r="B160" s="4">
        <f>563.05</f>
        <v>563.04999999999995</v>
      </c>
      <c r="C160" s="4">
        <f>0</f>
        <v>0</v>
      </c>
    </row>
    <row r="161" spans="1:3" x14ac:dyDescent="0.4">
      <c r="A161" s="3" t="s">
        <v>157</v>
      </c>
      <c r="B161" s="4">
        <f>188.45</f>
        <v>188.45</v>
      </c>
      <c r="C161" s="4">
        <f>0</f>
        <v>0</v>
      </c>
    </row>
    <row r="162" spans="1:3" x14ac:dyDescent="0.4">
      <c r="A162" s="3" t="s">
        <v>158</v>
      </c>
      <c r="B162" s="4">
        <f>20828.28</f>
        <v>20828.28</v>
      </c>
      <c r="C162" s="4">
        <f>0</f>
        <v>0</v>
      </c>
    </row>
    <row r="163" spans="1:3" x14ac:dyDescent="0.4">
      <c r="A163" s="3" t="s">
        <v>159</v>
      </c>
      <c r="B163" s="4">
        <f>200</f>
        <v>200</v>
      </c>
      <c r="C163" s="4">
        <f>0</f>
        <v>0</v>
      </c>
    </row>
    <row r="164" spans="1:3" x14ac:dyDescent="0.4">
      <c r="A164" s="3" t="s">
        <v>160</v>
      </c>
      <c r="B164" s="4">
        <f>1714.7</f>
        <v>1714.7</v>
      </c>
      <c r="C164" s="4">
        <f>0</f>
        <v>0</v>
      </c>
    </row>
    <row r="165" spans="1:3" x14ac:dyDescent="0.4">
      <c r="A165" s="3" t="s">
        <v>161</v>
      </c>
      <c r="B165" s="4">
        <f>9887.62</f>
        <v>9887.6200000000008</v>
      </c>
      <c r="C165" s="4">
        <f>0</f>
        <v>0</v>
      </c>
    </row>
    <row r="166" spans="1:3" x14ac:dyDescent="0.4">
      <c r="A166" s="3" t="s">
        <v>162</v>
      </c>
      <c r="B166" s="4">
        <f>441543.98</f>
        <v>441543.98</v>
      </c>
      <c r="C166" s="4">
        <f>0</f>
        <v>0</v>
      </c>
    </row>
    <row r="167" spans="1:3" x14ac:dyDescent="0.4">
      <c r="A167" s="3" t="s">
        <v>163</v>
      </c>
      <c r="B167" s="4">
        <f>83086.07</f>
        <v>83086.070000000007</v>
      </c>
      <c r="C167" s="4">
        <f>0</f>
        <v>0</v>
      </c>
    </row>
    <row r="168" spans="1:3" x14ac:dyDescent="0.4">
      <c r="A168" s="3" t="s">
        <v>164</v>
      </c>
      <c r="B168" s="4">
        <f>148.78</f>
        <v>148.78</v>
      </c>
      <c r="C168" s="4">
        <f>0</f>
        <v>0</v>
      </c>
    </row>
    <row r="169" spans="1:3" x14ac:dyDescent="0.4">
      <c r="A169" s="3" t="s">
        <v>165</v>
      </c>
      <c r="B169" s="4">
        <f>3491.83</f>
        <v>3491.83</v>
      </c>
      <c r="C169" s="4">
        <f>0</f>
        <v>0</v>
      </c>
    </row>
    <row r="170" spans="1:3" x14ac:dyDescent="0.4">
      <c r="A170" s="3" t="s">
        <v>166</v>
      </c>
      <c r="B170" s="4">
        <f>635.7</f>
        <v>635.70000000000005</v>
      </c>
      <c r="C170" s="4">
        <f>0</f>
        <v>0</v>
      </c>
    </row>
    <row r="171" spans="1:3" x14ac:dyDescent="0.4">
      <c r="A171" s="3" t="s">
        <v>167</v>
      </c>
      <c r="B171" s="4">
        <f>7380.99</f>
        <v>7380.99</v>
      </c>
      <c r="C171" s="4">
        <f>0</f>
        <v>0</v>
      </c>
    </row>
    <row r="172" spans="1:3" x14ac:dyDescent="0.4">
      <c r="A172" s="3" t="s">
        <v>168</v>
      </c>
      <c r="B172" s="4">
        <f>1960.09</f>
        <v>1960.09</v>
      </c>
      <c r="C172" s="4">
        <f>0</f>
        <v>0</v>
      </c>
    </row>
    <row r="173" spans="1:3" x14ac:dyDescent="0.4">
      <c r="A173" s="3" t="s">
        <v>169</v>
      </c>
      <c r="B173" s="4">
        <f>12961.27</f>
        <v>12961.27</v>
      </c>
      <c r="C173" s="4">
        <f>0</f>
        <v>0</v>
      </c>
    </row>
    <row r="174" spans="1:3" x14ac:dyDescent="0.4">
      <c r="A174" s="3" t="s">
        <v>170</v>
      </c>
      <c r="B174" s="4">
        <f>11538</f>
        <v>11538</v>
      </c>
      <c r="C174" s="4">
        <f>0</f>
        <v>0</v>
      </c>
    </row>
    <row r="175" spans="1:3" x14ac:dyDescent="0.4">
      <c r="A175" s="3" t="s">
        <v>171</v>
      </c>
      <c r="B175" s="4">
        <f>2127.7</f>
        <v>2127.6999999999998</v>
      </c>
      <c r="C175" s="4">
        <f>0</f>
        <v>0</v>
      </c>
    </row>
    <row r="176" spans="1:3" x14ac:dyDescent="0.4">
      <c r="A176" s="3" t="s">
        <v>172</v>
      </c>
      <c r="B176" s="4">
        <f>17855.51</f>
        <v>17855.509999999998</v>
      </c>
      <c r="C176" s="4">
        <f>0</f>
        <v>0</v>
      </c>
    </row>
    <row r="177" spans="1:3" x14ac:dyDescent="0.4">
      <c r="A177" s="3" t="s">
        <v>173</v>
      </c>
      <c r="B177" s="4">
        <f>2516.84</f>
        <v>2516.84</v>
      </c>
      <c r="C177" s="4">
        <f>0</f>
        <v>0</v>
      </c>
    </row>
    <row r="178" spans="1:3" x14ac:dyDescent="0.4">
      <c r="A178" s="3" t="s">
        <v>174</v>
      </c>
      <c r="B178" s="4">
        <f>26015.45</f>
        <v>26015.45</v>
      </c>
      <c r="C178" s="4">
        <f>0</f>
        <v>0</v>
      </c>
    </row>
    <row r="179" spans="1:3" x14ac:dyDescent="0.4">
      <c r="A179" s="3" t="s">
        <v>175</v>
      </c>
      <c r="B179" s="4">
        <f>15841.94</f>
        <v>15841.94</v>
      </c>
      <c r="C179" s="4">
        <f>0</f>
        <v>0</v>
      </c>
    </row>
    <row r="180" spans="1:3" x14ac:dyDescent="0.4">
      <c r="A180" s="3" t="s">
        <v>176</v>
      </c>
      <c r="B180" s="4">
        <f>26216.18</f>
        <v>26216.18</v>
      </c>
      <c r="C180" s="4">
        <f>0</f>
        <v>0</v>
      </c>
    </row>
    <row r="181" spans="1:3" x14ac:dyDescent="0.4">
      <c r="A181" s="3" t="s">
        <v>177</v>
      </c>
      <c r="B181" s="4">
        <f>47229.8</f>
        <v>47229.8</v>
      </c>
      <c r="C181" s="4">
        <f>0</f>
        <v>0</v>
      </c>
    </row>
    <row r="182" spans="1:3" x14ac:dyDescent="0.4">
      <c r="A182" s="3" t="s">
        <v>178</v>
      </c>
      <c r="B182" s="4">
        <f>69357.13</f>
        <v>69357.13</v>
      </c>
      <c r="C182" s="4">
        <f>0</f>
        <v>0</v>
      </c>
    </row>
    <row r="183" spans="1:3" x14ac:dyDescent="0.4">
      <c r="A183" s="3" t="s">
        <v>179</v>
      </c>
      <c r="B183" s="4">
        <f>2873.91</f>
        <v>2873.91</v>
      </c>
      <c r="C183" s="4">
        <f>0</f>
        <v>0</v>
      </c>
    </row>
    <row r="184" spans="1:3" x14ac:dyDescent="0.4">
      <c r="A184" s="3" t="s">
        <v>180</v>
      </c>
      <c r="B184" s="4">
        <f>260.41</f>
        <v>260.41000000000003</v>
      </c>
      <c r="C184" s="4">
        <f>0</f>
        <v>0</v>
      </c>
    </row>
    <row r="185" spans="1:3" x14ac:dyDescent="0.4">
      <c r="A185" s="3" t="s">
        <v>181</v>
      </c>
      <c r="B185" s="4">
        <f>25</f>
        <v>25</v>
      </c>
      <c r="C185" s="4">
        <f>0</f>
        <v>0</v>
      </c>
    </row>
    <row r="186" spans="1:3" x14ac:dyDescent="0.4">
      <c r="A186" s="3" t="s">
        <v>182</v>
      </c>
      <c r="B186" s="4">
        <f>35036.52</f>
        <v>35036.519999999997</v>
      </c>
      <c r="C186" s="4">
        <f>0</f>
        <v>0</v>
      </c>
    </row>
    <row r="187" spans="1:3" x14ac:dyDescent="0.4">
      <c r="A187" s="3" t="s">
        <v>183</v>
      </c>
      <c r="B187" s="4">
        <f>69217.5</f>
        <v>69217.5</v>
      </c>
      <c r="C187" s="4">
        <f>0</f>
        <v>0</v>
      </c>
    </row>
    <row r="188" spans="1:3" x14ac:dyDescent="0.4">
      <c r="A188" s="3" t="s">
        <v>184</v>
      </c>
      <c r="B188" s="4">
        <f>61370</f>
        <v>61370</v>
      </c>
      <c r="C188" s="4">
        <f>0</f>
        <v>0</v>
      </c>
    </row>
    <row r="189" spans="1:3" x14ac:dyDescent="0.4">
      <c r="A189" s="3" t="s">
        <v>185</v>
      </c>
      <c r="B189" s="4">
        <f>26312.49</f>
        <v>26312.49</v>
      </c>
      <c r="C189" s="4">
        <f>0</f>
        <v>0</v>
      </c>
    </row>
    <row r="190" spans="1:3" x14ac:dyDescent="0.4">
      <c r="A190" s="3" t="s">
        <v>186</v>
      </c>
      <c r="B190" s="4">
        <f>48138.49</f>
        <v>48138.49</v>
      </c>
      <c r="C190" s="4">
        <f>0</f>
        <v>0</v>
      </c>
    </row>
    <row r="191" spans="1:3" x14ac:dyDescent="0.4">
      <c r="A191" s="3" t="s">
        <v>187</v>
      </c>
      <c r="B191" s="4">
        <f>17193.14</f>
        <v>17193.14</v>
      </c>
      <c r="C191" s="4">
        <f>0</f>
        <v>0</v>
      </c>
    </row>
    <row r="192" spans="1:3" x14ac:dyDescent="0.4">
      <c r="A192" s="3" t="s">
        <v>188</v>
      </c>
      <c r="B192" s="4">
        <f>167449.27</f>
        <v>167449.26999999999</v>
      </c>
      <c r="C192" s="4">
        <f>0</f>
        <v>0</v>
      </c>
    </row>
    <row r="193" spans="1:3" x14ac:dyDescent="0.4">
      <c r="A193" s="3" t="s">
        <v>189</v>
      </c>
      <c r="B193" s="4">
        <f>2052.05</f>
        <v>2052.0500000000002</v>
      </c>
      <c r="C193" s="4">
        <f>0</f>
        <v>0</v>
      </c>
    </row>
    <row r="194" spans="1:3" x14ac:dyDescent="0.4">
      <c r="A194" s="3" t="s">
        <v>190</v>
      </c>
      <c r="B194" s="4">
        <f>208.02</f>
        <v>208.02</v>
      </c>
      <c r="C194" s="4">
        <f>0</f>
        <v>0</v>
      </c>
    </row>
    <row r="195" spans="1:3" x14ac:dyDescent="0.4">
      <c r="A195" s="3" t="s">
        <v>191</v>
      </c>
      <c r="B195" s="4">
        <f>158.18</f>
        <v>158.18</v>
      </c>
      <c r="C195" s="4">
        <f>0</f>
        <v>0</v>
      </c>
    </row>
    <row r="196" spans="1:3" x14ac:dyDescent="0.4">
      <c r="A196" s="3" t="s">
        <v>192</v>
      </c>
      <c r="B196" s="4">
        <f>1056.42</f>
        <v>1056.42</v>
      </c>
      <c r="C196" s="4">
        <f>0</f>
        <v>0</v>
      </c>
    </row>
    <row r="197" spans="1:3" x14ac:dyDescent="0.4">
      <c r="A197" s="3" t="s">
        <v>193</v>
      </c>
      <c r="B197" s="4">
        <f>111.92</f>
        <v>111.92</v>
      </c>
      <c r="C197" s="4">
        <f>0</f>
        <v>0</v>
      </c>
    </row>
    <row r="198" spans="1:3" x14ac:dyDescent="0.4">
      <c r="A198" s="3" t="s">
        <v>194</v>
      </c>
      <c r="B198" s="4">
        <f>3</f>
        <v>3</v>
      </c>
      <c r="C198" s="4">
        <f>0</f>
        <v>0</v>
      </c>
    </row>
    <row r="199" spans="1:3" x14ac:dyDescent="0.4">
      <c r="A199" s="3" t="s">
        <v>195</v>
      </c>
      <c r="B199" s="4">
        <f>420566.17</f>
        <v>420566.17</v>
      </c>
      <c r="C199" s="4">
        <f>0</f>
        <v>0</v>
      </c>
    </row>
    <row r="200" spans="1:3" x14ac:dyDescent="0.4">
      <c r="A200" s="3" t="s">
        <v>196</v>
      </c>
      <c r="B200" s="4">
        <f>6343</f>
        <v>6343</v>
      </c>
      <c r="C200" s="4">
        <f>0</f>
        <v>0</v>
      </c>
    </row>
    <row r="201" spans="1:3" x14ac:dyDescent="0.4">
      <c r="A201" s="3" t="s">
        <v>197</v>
      </c>
      <c r="B201" s="4">
        <f>340</f>
        <v>340</v>
      </c>
      <c r="C201" s="4">
        <f>0</f>
        <v>0</v>
      </c>
    </row>
    <row r="202" spans="1:3" x14ac:dyDescent="0.4">
      <c r="A202" s="3" t="s">
        <v>198</v>
      </c>
      <c r="B202" s="4">
        <f>105</f>
        <v>105</v>
      </c>
      <c r="C202" s="4">
        <f>0</f>
        <v>0</v>
      </c>
    </row>
    <row r="203" spans="1:3" x14ac:dyDescent="0.4">
      <c r="A203" s="3" t="s">
        <v>199</v>
      </c>
      <c r="B203" s="4">
        <f>40849.11</f>
        <v>40849.11</v>
      </c>
      <c r="C203" s="4">
        <f>0</f>
        <v>0</v>
      </c>
    </row>
    <row r="204" spans="1:3" x14ac:dyDescent="0.4">
      <c r="A204" s="3" t="s">
        <v>200</v>
      </c>
      <c r="B204" s="4">
        <f>2609.68</f>
        <v>2609.6799999999998</v>
      </c>
      <c r="C204" s="4">
        <f>0</f>
        <v>0</v>
      </c>
    </row>
    <row r="205" spans="1:3" x14ac:dyDescent="0.4">
      <c r="A205" s="3" t="s">
        <v>201</v>
      </c>
      <c r="B205" s="4">
        <f>416.5</f>
        <v>416.5</v>
      </c>
      <c r="C205" s="4">
        <f>0</f>
        <v>0</v>
      </c>
    </row>
    <row r="206" spans="1:3" x14ac:dyDescent="0.4">
      <c r="A206" s="3" t="s">
        <v>202</v>
      </c>
      <c r="B206" s="4">
        <f>0</f>
        <v>0</v>
      </c>
      <c r="C206" s="4">
        <f>27768.25</f>
        <v>27768.25</v>
      </c>
    </row>
    <row r="207" spans="1:3" x14ac:dyDescent="0.4">
      <c r="A207" s="3" t="s">
        <v>203</v>
      </c>
      <c r="B207" s="4">
        <f>13.32</f>
        <v>13.32</v>
      </c>
      <c r="C207" s="4">
        <f>0</f>
        <v>0</v>
      </c>
    </row>
    <row r="208" spans="1:3" x14ac:dyDescent="0.4">
      <c r="A208" s="3" t="s">
        <v>204</v>
      </c>
      <c r="B208" s="4">
        <f>388.78</f>
        <v>388.78</v>
      </c>
      <c r="C208" s="4">
        <f>0</f>
        <v>0</v>
      </c>
    </row>
    <row r="209" spans="1:3" x14ac:dyDescent="0.4">
      <c r="A209" s="3" t="s">
        <v>205</v>
      </c>
      <c r="B209" s="4">
        <f>652.7</f>
        <v>652.70000000000005</v>
      </c>
      <c r="C209" s="4">
        <f>0</f>
        <v>0</v>
      </c>
    </row>
    <row r="210" spans="1:3" x14ac:dyDescent="0.4">
      <c r="A210" s="3" t="s">
        <v>206</v>
      </c>
      <c r="B210" s="4">
        <f>0</f>
        <v>0</v>
      </c>
      <c r="C210" s="4">
        <f>92524.13</f>
        <v>92524.13</v>
      </c>
    </row>
    <row r="211" spans="1:3" x14ac:dyDescent="0.4">
      <c r="A211" s="3" t="s">
        <v>207</v>
      </c>
      <c r="B211" s="4">
        <f>0</f>
        <v>0</v>
      </c>
      <c r="C211" s="4">
        <f>22224.07</f>
        <v>22224.07</v>
      </c>
    </row>
    <row r="212" spans="1:3" x14ac:dyDescent="0.4">
      <c r="A212" s="3" t="s">
        <v>208</v>
      </c>
      <c r="B212" s="4">
        <f>0</f>
        <v>0</v>
      </c>
      <c r="C212" s="4">
        <f>55042.51</f>
        <v>55042.51</v>
      </c>
    </row>
    <row r="213" spans="1:3" x14ac:dyDescent="0.4">
      <c r="A213" s="3" t="s">
        <v>209</v>
      </c>
      <c r="B213" s="4">
        <f>0</f>
        <v>0</v>
      </c>
      <c r="C213" s="4">
        <f>1233.49</f>
        <v>1233.49</v>
      </c>
    </row>
    <row r="214" spans="1:3" x14ac:dyDescent="0.4">
      <c r="A214" s="3" t="s">
        <v>210</v>
      </c>
      <c r="B214" s="4">
        <f>0</f>
        <v>0</v>
      </c>
      <c r="C214" s="4">
        <f>19673.92</f>
        <v>19673.919999999998</v>
      </c>
    </row>
    <row r="215" spans="1:3" x14ac:dyDescent="0.4">
      <c r="A215" s="3" t="s">
        <v>211</v>
      </c>
      <c r="B215" s="4">
        <f>69.15</f>
        <v>69.150000000000006</v>
      </c>
      <c r="C215" s="4">
        <f>0</f>
        <v>0</v>
      </c>
    </row>
    <row r="216" spans="1:3" x14ac:dyDescent="0.4">
      <c r="A216" s="3" t="s">
        <v>212</v>
      </c>
      <c r="B216" s="4">
        <f>9519.29</f>
        <v>9519.2900000000009</v>
      </c>
      <c r="C216" s="4">
        <f>0</f>
        <v>0</v>
      </c>
    </row>
    <row r="217" spans="1:3" x14ac:dyDescent="0.4">
      <c r="A217" s="3" t="s">
        <v>213</v>
      </c>
      <c r="B217" s="5">
        <f>((((((((((((((((((((((((((((((((((((((((((((((((((((((((((((((((((((((((((((((((((((((((((((((((((((((((((((((((((((((((((((((((((((((((((((((((((((((((((((((((((((((((((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)+(B52))+(B53))+(B54))+(B55))+(B56))+(B57))+(B58))+(B59))+(B60))+(B61))+(B62))+(B63))+(B64))+(B65))+(B66))+(B67))+(B68))+(B69))+(B70))+(B71))+(B72))+(B73))+(B74))+(B75))+(B76))+(B77))+(B78))+(B79))+(B80))+(B81))+(B82))+(B83))+(B84))+(B85))+(B86))+(B87))+(B88))+(B89))+(B90))+(B91))+(B92))+(B93))+(B94))+(B95))+(B96))+(B97))+(B98))+(B99))+(B100))+(B101))+(B102))+(B103))+(B104))+(B105))+(B106))+(B107))+(B108))+(B109))+(B110))+(B111))+(B112))+(B113))+(B114))+(B115))+(B116))+(B117))+(B118))+(B119))+(B120))+(B121))+(B122))+(B123))+(B124))+(B125))+(B126))+(B127))+(B128))+(B129))+(B130))+(B131))+(B132))+(B133))+(B134))+(B135))+(B136))+(B137))+(B138))+(B139))+(B140))+(B141))+(B142))+(B143))+(B144))+(B145))+(B146))+(B147))+(B148))+(B149))+(B150))+(B151))+(B152))+(B153))+(B154))+(B155))+(B156))+(B157))+(B158))+(B159))+(B160))+(B161))+(B162))+(B163))+(B164))+(B165))+(B166))+(B167))+(B168))+(B169))+(B170))+(B171))+(B172))+(B173))+(B174))+(B175))+(B176))+(B177))+(B178))+(B179))+(B180))+(B181))+(B182))+(B183))+(B184))+(B185))+(B186))+(B187))+(B188))+(B189))+(B190))+(B191))+(B192))+(B193))+(B194))+(B195))+(B196))+(B197))+(B198))+(B199))+(B200))+(B201))+(B202))+(B203))+(B204))+(B205))+(B206))+(B207))+(B208))+(B209))+(B210))+(B211))+(B212))+(B213))+(B214))+(B215))+(B216)</f>
        <v>18224707.579999994</v>
      </c>
      <c r="C217" s="5">
        <f>((((((((((((((((((((((((((((((((((((((((((((((((((((((((((((((((((((((((((((((((((((((((((((((((((((((((((((((((((((((((((((((((((((((((((((((((((((((((((((((((((((((((((((((((((((((((((((((((((((((((((((((((((C6)+(C7))+(C8))+(C9))+(C10))+(C11))+(C12))+(C13))+(C14))+(C15))+(C16))+(C17))+(C18))+(C19))+(C20))+(C21))+(C22))+(C23))+(C24))+(C25))+(C26))+(C27))+(C28))+(C29))+(C30))+(C31))+(C32))+(C33))+(C34))+(C35))+(C36))+(C37))+(C38))+(C39))+(C40))+(C41))+(C42))+(C43))+(C44))+(C45))+(C46))+(C47))+(C48))+(C49))+(C50))+(C51))+(C52))+(C53))+(C54))+(C55))+(C56))+(C57))+(C58))+(C59))+(C60))+(C61))+(C62))+(C63))+(C64))+(C65))+(C66))+(C67))+(C68))+(C69))+(C70))+(C71))+(C72))+(C73))+(C74))+(C75))+(C76))+(C77))+(C78))+(C79))+(C80))+(C81))+(C82))+(C83))+(C84))+(C85))+(C86))+(C87))+(C88))+(C89))+(C90))+(C91))+(C92))+(C93))+(C94))+(C95))+(C96))+(C97))+(C98))+(C99))+(C100))+(C101))+(C102))+(C103))+(C104))+(C105))+(C106))+(C107))+(C108))+(C109))+(C110))+(C111))+(C112))+(C113))+(C114))+(C115))+(C116))+(C117))+(C118))+(C119))+(C120))+(C121))+(C122))+(C123))+(C124))+(C125))+(C126))+(C127))+(C128))+(C129))+(C130))+(C131))+(C132))+(C133))+(C134))+(C135))+(C136))+(C137))+(C138))+(C139))+(C140))+(C141))+(C142))+(C143))+(C144))+(C145))+(C146))+(C147))+(C148))+(C149))+(C150))+(C151))+(C152))+(C153))+(C154))+(C155))+(C156))+(C157))+(C158))+(C159))+(C160))+(C161))+(C162))+(C163))+(C164))+(C165))+(C166))+(C167))+(C168))+(C169))+(C170))+(C171))+(C172))+(C173))+(C174))+(C175))+(C176))+(C177))+(C178))+(C179))+(C180))+(C181))+(C182))+(C183))+(C184))+(C185))+(C186))+(C187))+(C188))+(C189))+(C190))+(C191))+(C192))+(C193))+(C194))+(C195))+(C196))+(C197))+(C198))+(C199))+(C200))+(C201))+(C202))+(C203))+(C204))+(C205))+(C206))+(C207))+(C208))+(C209))+(C210))+(C211))+(C212))+(C213))+(C214))+(C215))+(C216)</f>
        <v>18224707.580000002</v>
      </c>
    </row>
    <row r="218" spans="1:3" x14ac:dyDescent="0.4">
      <c r="A218" s="3"/>
      <c r="B218" s="6"/>
      <c r="C218" s="6"/>
    </row>
    <row r="221" spans="1:3" x14ac:dyDescent="0.4">
      <c r="A221" s="7" t="s">
        <v>214</v>
      </c>
      <c r="B221" s="8"/>
      <c r="C221" s="8"/>
    </row>
  </sheetData>
  <mergeCells count="4">
    <mergeCell ref="A221:C221"/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Ramzan Khuwaja</cp:lastModifiedBy>
  <dcterms:created xsi:type="dcterms:W3CDTF">2026-04-10T01:17:54Z</dcterms:created>
  <dcterms:modified xsi:type="dcterms:W3CDTF">2026-04-10T01:50:42Z</dcterms:modified>
</cp:coreProperties>
</file>