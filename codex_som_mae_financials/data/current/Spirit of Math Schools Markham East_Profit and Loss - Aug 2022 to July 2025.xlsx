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8" i="1" l="1"/>
</calcChain>
</file>

<file path=xl/sharedStrings.xml><?xml version="1.0" encoding="utf-8"?>
<sst xmlns="http://schemas.openxmlformats.org/spreadsheetml/2006/main" count="120" uniqueCount="120">
  <si>
    <t>Profit and Loss - Aug 2022 to July 2025</t>
  </si>
  <si>
    <t>Spirit of Math Schools Markham East</t>
  </si>
  <si>
    <t>August 1, 2022-July 31, 2025</t>
  </si>
  <si>
    <t>Income</t>
  </si>
  <si>
    <t>4100 Tuition</t>
  </si>
  <si>
    <t>4120 Other income - CEBA</t>
  </si>
  <si>
    <t>4220 Investment Income</t>
  </si>
  <si>
    <t>4900 Interest Income</t>
  </si>
  <si>
    <t>4920 Refunds</t>
  </si>
  <si>
    <t>4921 Tuition Refunds</t>
  </si>
  <si>
    <t>Total for 4920 Refunds</t>
  </si>
  <si>
    <t>Total for Income</t>
  </si>
  <si>
    <t>Cost of Goods Sold</t>
  </si>
  <si>
    <t>5100 Materials and Supplies</t>
  </si>
  <si>
    <t>5111 Graduation Ceremony</t>
  </si>
  <si>
    <t>5200 Payroll Expanse</t>
  </si>
  <si>
    <t>5211 Wages</t>
  </si>
  <si>
    <t>5212 CPP Expense</t>
  </si>
  <si>
    <t>5213 EI Expense</t>
  </si>
  <si>
    <t>5214 EHT Expense</t>
  </si>
  <si>
    <t>5215 Employee Benefits</t>
  </si>
  <si>
    <t>5217 WSIB Expense</t>
  </si>
  <si>
    <t>5219 FED.TAX</t>
  </si>
  <si>
    <t>Total for 5200 Payroll Expanse</t>
  </si>
  <si>
    <t>5300 Teacher and CAA training</t>
  </si>
  <si>
    <t>5410 Subcontract</t>
  </si>
  <si>
    <t>5600 Campus Rent</t>
  </si>
  <si>
    <t>5606 #5 - 9293 Markham Road</t>
  </si>
  <si>
    <t>Total for 5600 Campus Rent</t>
  </si>
  <si>
    <t>5710 Royalty fee</t>
  </si>
  <si>
    <t>5780 Student Handouts</t>
  </si>
  <si>
    <t>5785 Teaching Supplies</t>
  </si>
  <si>
    <t>5786 Non-SoM Contests</t>
  </si>
  <si>
    <t>5787 SoM Contests</t>
  </si>
  <si>
    <t>Total for Cost of Goods Sold</t>
  </si>
  <si>
    <t>Gross Profit</t>
  </si>
  <si>
    <t>Expenses</t>
  </si>
  <si>
    <t>6110 Professional Fees</t>
  </si>
  <si>
    <t>6111 Ceridian</t>
  </si>
  <si>
    <t>6112 Security Services</t>
  </si>
  <si>
    <t>6115 Legal Expense</t>
  </si>
  <si>
    <t>6116 Accounting Fees</t>
  </si>
  <si>
    <t>6117 Bookkeeping Fees</t>
  </si>
  <si>
    <t>6119 HR Profiles/Recruitment</t>
  </si>
  <si>
    <t>Total for 6110 Professional Fees</t>
  </si>
  <si>
    <t>6200 Marketing/Advertising/Promotion</t>
  </si>
  <si>
    <t>62010 Marketing Wages</t>
  </si>
  <si>
    <t>6201.1 FTC</t>
  </si>
  <si>
    <t>6201 Marketing Material</t>
  </si>
  <si>
    <t>6202 Space Rental</t>
  </si>
  <si>
    <t>6203 Mailing</t>
  </si>
  <si>
    <t>6204 Mobile Sign</t>
  </si>
  <si>
    <t>6205 Public Sign</t>
  </si>
  <si>
    <t>6206 Print Media</t>
  </si>
  <si>
    <t>6208 Online</t>
  </si>
  <si>
    <t>6209 Event Sponsorship</t>
  </si>
  <si>
    <t>Total for 6200 Marketing/Advertising/Promotion</t>
  </si>
  <si>
    <t>6230 Competition Expanse</t>
  </si>
  <si>
    <t>6250 Amortization/Depreciation expense </t>
  </si>
  <si>
    <t>6255 Amortization of franchise fee</t>
  </si>
  <si>
    <t>6260 Donations</t>
  </si>
  <si>
    <t>6300 Automobile costs</t>
  </si>
  <si>
    <t>6302 Car fuel</t>
  </si>
  <si>
    <t>6304 Parking</t>
  </si>
  <si>
    <t>6305 Car Repair &amp; Maintence</t>
  </si>
  <si>
    <t>6306 Car travel allowance</t>
  </si>
  <si>
    <t>6308 Car Other</t>
  </si>
  <si>
    <t>Total for 6300 Automobile costs</t>
  </si>
  <si>
    <t>6370 Business &amp; Admin training expense   </t>
  </si>
  <si>
    <t>6401 Office/Campus Expenses</t>
  </si>
  <si>
    <t>6401.10 Misc. Expanses</t>
  </si>
  <si>
    <t>6401.11 SMS Supplies - Student</t>
  </si>
  <si>
    <t>6401.12 SMS Supplies - Campus</t>
  </si>
  <si>
    <t>6401.13 Campus Equipment</t>
  </si>
  <si>
    <t>6401.15 Gifts</t>
  </si>
  <si>
    <t>6401.1 Campus Supplies</t>
  </si>
  <si>
    <t>6401.2 Printer &amp; Supplies</t>
  </si>
  <si>
    <t>6401.3 Office Supplies</t>
  </si>
  <si>
    <t>6401.5 Printing</t>
  </si>
  <si>
    <t>6401.6 Courier/ Postage</t>
  </si>
  <si>
    <t>Total for 6401 Office/Campus Expenses</t>
  </si>
  <si>
    <t>6405 IT Expense</t>
  </si>
  <si>
    <t>6405.1 Hardware</t>
  </si>
  <si>
    <t>6405.4 Computer Expense - Other</t>
  </si>
  <si>
    <t>6405.6 SoM IT Charges</t>
  </si>
  <si>
    <t>6406 Software Expense</t>
  </si>
  <si>
    <t>Total for 6405 IT Expense</t>
  </si>
  <si>
    <t>6409 SMS Conference</t>
  </si>
  <si>
    <t>6420 Finance charges</t>
  </si>
  <si>
    <t>6421 Bank charges</t>
  </si>
  <si>
    <t>6423 Interest expense - bank</t>
  </si>
  <si>
    <t>6425 CC charges</t>
  </si>
  <si>
    <t>6426 Interest expense - CC</t>
  </si>
  <si>
    <t>6427 FirstData - Merchant Services</t>
  </si>
  <si>
    <t>Total for 6420 Finance charges</t>
  </si>
  <si>
    <t>6550 Fees and licences</t>
  </si>
  <si>
    <t>6600 Insurance</t>
  </si>
  <si>
    <t>6601 Security Services</t>
  </si>
  <si>
    <t>6602 Cleaning Service</t>
  </si>
  <si>
    <t>6603 Floor Mats Service</t>
  </si>
  <si>
    <t>6615 Events Expense</t>
  </si>
  <si>
    <t>6630 Office Photocopying Expense</t>
  </si>
  <si>
    <t>6645 Courier / Postage</t>
  </si>
  <si>
    <t>6650 Meals &amp; entertainment</t>
  </si>
  <si>
    <t>6700 Business Phone</t>
  </si>
  <si>
    <t>6710 Utilities</t>
  </si>
  <si>
    <t>6715 Repairs and maintenance</t>
  </si>
  <si>
    <t>6720 Travel Expense (meetings, etc.)</t>
  </si>
  <si>
    <t>6721 Rent - Office in Home</t>
  </si>
  <si>
    <t>6925 Professional Development Expenses</t>
  </si>
  <si>
    <t>7500 Current income tax provision</t>
  </si>
  <si>
    <t>7800 Current income tax</t>
  </si>
  <si>
    <t>8500 Taxes Paid</t>
  </si>
  <si>
    <t>Staff Traininig (deleted)</t>
  </si>
  <si>
    <t>Uncategorized Expense</t>
  </si>
  <si>
    <t>Total for Expenses</t>
  </si>
  <si>
    <t>Profit</t>
  </si>
  <si>
    <t>Distribution account</t>
  </si>
  <si>
    <t>Total</t>
  </si>
  <si>
    <t>Accrual Basis Wednesday, March 11, 2026 05:31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</si>
</sst>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0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3" fillId="0" borderId="0" xfId="0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123"/>
  <sheetViews>
    <sheetView tabSelected="1" workbookViewId="0" topLeftCell="A1"/>
  </sheetViews>
  <sheetFormatPr defaultColWidth="11.255" defaultRowHeight="16" outlineLevelRow="2"/>
  <cols>
    <col min="1" max="1" width="40.125" style="33" customWidth="1"/>
    <col min="2" max="2" width="16.125" style="33" customWidth="1"/>
  </cols>
  <sheetData>
    <row r="1" spans="1:1" ht="16">
      <c r="A1" s="24" t="s">
        <v>0</v>
      </c>
    </row>
    <row r="2" spans="1:1" ht="16">
      <c r="A2" s="25" t="s">
        <v>1</v>
      </c>
    </row>
    <row r="3" spans="1:1" ht="16">
      <c r="A3" s="26" t="s">
        <v>2</v>
      </c>
    </row>
    <row r="5" spans="1:2" ht="16">
      <c r="A5" s="35" t="s">
        <v>117</v>
      </c>
      <c r="B5" s="35" t="s">
        <v>118</v>
      </c>
    </row>
    <row r="6" spans="1:1" ht="16">
      <c r="A6" s="28" t="s">
        <v>3</v>
      </c>
    </row>
    <row r="7" spans="1:2" ht="16" outlineLevel="1">
      <c r="A7" s="29" t="s">
        <v>4</v>
      </c>
      <c r="B7" s="36">
        <v>8540593.33</v>
      </c>
    </row>
    <row r="8" spans="1:2" ht="16" outlineLevel="1">
      <c r="A8" s="29" t="s">
        <v>5</v>
      </c>
      <c r="B8" s="36">
        <v>20000.0</v>
      </c>
    </row>
    <row r="9" spans="1:2" ht="16" outlineLevel="1">
      <c r="A9" s="29" t="s">
        <v>6</v>
      </c>
      <c r="B9" s="36">
        <v>8318.77</v>
      </c>
    </row>
    <row r="10" spans="1:2" ht="16" outlineLevel="1">
      <c r="A10" s="29" t="s">
        <v>7</v>
      </c>
      <c r="B10" s="36">
        <v>25817.9</v>
      </c>
    </row>
    <row r="11" spans="1:2" ht="16" outlineLevel="1">
      <c r="A11" s="29" t="s">
        <v>8</v>
      </c>
      <c r="B11" s="37"/>
    </row>
    <row r="12" spans="1:2" ht="16" outlineLevel="2">
      <c r="A12" s="30" t="s">
        <v>9</v>
      </c>
      <c r="B12" s="36">
        <v>-99100.06</v>
      </c>
    </row>
    <row r="13" spans="1:2" ht="16" outlineLevel="1">
      <c r="A13" s="31" t="s">
        <v>10</v>
      </c>
      <c r="B13" s="38">
        <f>B11+B12</f>
        <v>-99100.06</v>
      </c>
    </row>
    <row r="14" spans="1:2" ht="16">
      <c r="A14" s="32" t="s">
        <v>11</v>
      </c>
      <c r="B14" s="38">
        <f>B7+B8+B9+B10+B13</f>
        <v>8495629.94</v>
      </c>
    </row>
    <row r="15" spans="1:1" ht="16">
      <c r="A15" s="28" t="s">
        <v>12</v>
      </c>
    </row>
    <row r="16" spans="1:2" ht="16" outlineLevel="1">
      <c r="A16" s="29" t="s">
        <v>13</v>
      </c>
      <c r="B16" s="36">
        <v>46852.35</v>
      </c>
    </row>
    <row r="17" spans="1:2" ht="16" outlineLevel="1">
      <c r="A17" s="29" t="s">
        <v>14</v>
      </c>
      <c r="B17" s="36">
        <v>5034.9</v>
      </c>
    </row>
    <row r="18" spans="1:2" ht="16" outlineLevel="1">
      <c r="A18" s="29" t="s">
        <v>15</v>
      </c>
      <c r="B18" s="36">
        <v>239582.1</v>
      </c>
    </row>
    <row r="19" spans="1:2" ht="16" outlineLevel="2">
      <c r="A19" s="30" t="s">
        <v>16</v>
      </c>
      <c r="B19" s="36">
        <v>3030333.29</v>
      </c>
    </row>
    <row r="20" spans="1:2" ht="16" outlineLevel="2">
      <c r="A20" s="30" t="s">
        <v>17</v>
      </c>
      <c r="B20" s="36">
        <v>364015.22</v>
      </c>
    </row>
    <row r="21" spans="1:2" ht="16" outlineLevel="2">
      <c r="A21" s="30" t="s">
        <v>18</v>
      </c>
      <c r="B21" s="36">
        <v>90853.78</v>
      </c>
    </row>
    <row r="22" spans="1:2" ht="16" outlineLevel="2">
      <c r="A22" s="30" t="s">
        <v>19</v>
      </c>
      <c r="B22" s="36">
        <v>23584.44</v>
      </c>
    </row>
    <row r="23" spans="1:2" ht="16" outlineLevel="2">
      <c r="A23" s="30" t="s">
        <v>20</v>
      </c>
      <c r="B23" s="36">
        <v>50352.32</v>
      </c>
    </row>
    <row r="24" spans="1:2" ht="16" outlineLevel="2">
      <c r="A24" s="30" t="s">
        <v>21</v>
      </c>
      <c r="B24" s="36">
        <v>14723.67</v>
      </c>
    </row>
    <row r="25" spans="1:2" ht="16" outlineLevel="2">
      <c r="A25" s="30" t="s">
        <v>22</v>
      </c>
      <c r="B25" s="36">
        <v>657542.64</v>
      </c>
    </row>
    <row r="26" spans="1:2" ht="16" outlineLevel="1">
      <c r="A26" s="31" t="s">
        <v>23</v>
      </c>
      <c r="B26" s="38">
        <f>B18+B19+B20+B21+B22+B23+B24+B25</f>
        <v>4470987.46</v>
      </c>
    </row>
    <row r="27" spans="1:2" ht="16" outlineLevel="1">
      <c r="A27" s="29" t="s">
        <v>24</v>
      </c>
      <c r="B27" s="36">
        <v>18291.87</v>
      </c>
    </row>
    <row r="28" spans="1:2" ht="16" outlineLevel="1">
      <c r="A28" s="29" t="s">
        <v>25</v>
      </c>
      <c r="B28" s="36">
        <v>5550.0</v>
      </c>
    </row>
    <row r="29" spans="1:2" ht="16" outlineLevel="1">
      <c r="A29" s="29" t="s">
        <v>26</v>
      </c>
      <c r="B29" s="36">
        <v>3590.0</v>
      </c>
    </row>
    <row r="30" spans="1:2" ht="16" outlineLevel="2">
      <c r="A30" s="30" t="s">
        <v>27</v>
      </c>
      <c r="B30" s="36">
        <v>412712.77</v>
      </c>
    </row>
    <row r="31" spans="1:2" ht="16" outlineLevel="1">
      <c r="A31" s="31" t="s">
        <v>28</v>
      </c>
      <c r="B31" s="38">
        <f>B29+B30</f>
        <v>416302.77</v>
      </c>
    </row>
    <row r="32" spans="1:2" ht="16" outlineLevel="1">
      <c r="A32" s="29" t="s">
        <v>29</v>
      </c>
      <c r="B32" s="36">
        <v>1248776.61</v>
      </c>
    </row>
    <row r="33" spans="1:2" ht="16" outlineLevel="1">
      <c r="A33" s="29" t="s">
        <v>30</v>
      </c>
      <c r="B33" s="36">
        <v>301405.5</v>
      </c>
    </row>
    <row r="34" spans="1:2" ht="16" outlineLevel="1">
      <c r="A34" s="29" t="s">
        <v>31</v>
      </c>
      <c r="B34" s="36">
        <v>14970.33</v>
      </c>
    </row>
    <row r="35" spans="1:2" ht="16" outlineLevel="1">
      <c r="A35" s="29" t="s">
        <v>32</v>
      </c>
      <c r="B35" s="36">
        <v>2622.07</v>
      </c>
    </row>
    <row r="36" spans="1:2" ht="16" outlineLevel="1">
      <c r="A36" s="29" t="s">
        <v>33</v>
      </c>
      <c r="B36" s="36">
        <v>1246.12</v>
      </c>
    </row>
    <row r="37" spans="1:2" ht="16">
      <c r="A37" s="32" t="s">
        <v>34</v>
      </c>
      <c r="B37" s="38">
        <f>B16+B17+B26+B27+B28+B31+B32+B33+B34+B35+B36</f>
        <v>6532039.98</v>
      </c>
    </row>
    <row r="38" spans="1:2" ht="16">
      <c r="A38" s="32" t="s">
        <v>35</v>
      </c>
      <c r="B38" s="38">
        <f>B14-B37</f>
        <v>1963589.959999999</v>
      </c>
    </row>
    <row r="39" spans="1:1" ht="16">
      <c r="A39" s="28" t="s">
        <v>36</v>
      </c>
    </row>
    <row r="40" spans="1:2" ht="16" outlineLevel="1">
      <c r="A40" s="29" t="s">
        <v>37</v>
      </c>
      <c r="B40" s="36">
        <v>2033.95</v>
      </c>
    </row>
    <row r="41" spans="1:2" ht="16" outlineLevel="2">
      <c r="A41" s="30" t="s">
        <v>38</v>
      </c>
      <c r="B41" s="36">
        <v>8862.05</v>
      </c>
    </row>
    <row r="42" spans="1:2" ht="16" outlineLevel="2">
      <c r="A42" s="30" t="s">
        <v>39</v>
      </c>
      <c r="B42" s="36">
        <v>468.95</v>
      </c>
    </row>
    <row r="43" spans="1:2" ht="16" outlineLevel="2">
      <c r="A43" s="30" t="s">
        <v>40</v>
      </c>
      <c r="B43" s="36">
        <v>8088.85</v>
      </c>
    </row>
    <row r="44" spans="1:2" ht="16" outlineLevel="2">
      <c r="A44" s="30" t="s">
        <v>41</v>
      </c>
      <c r="B44" s="36">
        <v>23731.92</v>
      </c>
    </row>
    <row r="45" spans="1:2" ht="16" outlineLevel="2">
      <c r="A45" s="30" t="s">
        <v>42</v>
      </c>
      <c r="B45" s="36">
        <v>2881.5</v>
      </c>
    </row>
    <row r="46" spans="1:2" ht="16" outlineLevel="2">
      <c r="A46" s="30" t="s">
        <v>43</v>
      </c>
      <c r="B46" s="36">
        <v>1314.79</v>
      </c>
    </row>
    <row r="47" spans="1:2" ht="16" outlineLevel="1">
      <c r="A47" s="31" t="s">
        <v>44</v>
      </c>
      <c r="B47" s="38">
        <f>B40+B41+B42+B43+B44+B45+B46</f>
        <v>47382.01</v>
      </c>
    </row>
    <row r="48" spans="1:2" ht="16" outlineLevel="1">
      <c r="A48" s="29" t="s">
        <v>45</v>
      </c>
      <c r="B48" s="36">
        <v>22387.95</v>
      </c>
    </row>
    <row r="49" spans="1:2" ht="16" outlineLevel="2">
      <c r="A49" s="30" t="s">
        <v>46</v>
      </c>
      <c r="B49" s="36">
        <v>57597.06</v>
      </c>
    </row>
    <row r="50" spans="1:2" ht="16" outlineLevel="2">
      <c r="A50" s="30" t="s">
        <v>47</v>
      </c>
      <c r="B50" s="36">
        <v>72174.95</v>
      </c>
    </row>
    <row r="51" spans="1:2" ht="16" outlineLevel="2">
      <c r="A51" s="30" t="s">
        <v>48</v>
      </c>
      <c r="B51" s="36">
        <v>18475.83</v>
      </c>
    </row>
    <row r="52" spans="1:2" ht="16" outlineLevel="2">
      <c r="A52" s="30" t="s">
        <v>49</v>
      </c>
      <c r="B52" s="36">
        <v>15325.0</v>
      </c>
    </row>
    <row r="53" spans="1:2" ht="16" outlineLevel="2">
      <c r="A53" s="30" t="s">
        <v>50</v>
      </c>
      <c r="B53" s="36">
        <v>460.91</v>
      </c>
    </row>
    <row r="54" spans="1:2" ht="16" outlineLevel="2">
      <c r="A54" s="30" t="s">
        <v>51</v>
      </c>
      <c r="B54" s="36">
        <v>9894.44</v>
      </c>
    </row>
    <row r="55" spans="1:2" ht="16" outlineLevel="2">
      <c r="A55" s="30" t="s">
        <v>52</v>
      </c>
      <c r="B55" s="36">
        <v>53064.39</v>
      </c>
    </row>
    <row r="56" spans="1:2" ht="16" outlineLevel="2">
      <c r="A56" s="30" t="s">
        <v>53</v>
      </c>
      <c r="B56" s="36">
        <v>4641.61</v>
      </c>
    </row>
    <row r="57" spans="1:2" ht="16" outlineLevel="2">
      <c r="A57" s="30" t="s">
        <v>54</v>
      </c>
      <c r="B57" s="36">
        <v>6868.25</v>
      </c>
    </row>
    <row r="58" spans="1:2" ht="16" outlineLevel="2">
      <c r="A58" s="30" t="s">
        <v>55</v>
      </c>
      <c r="B58" s="36">
        <v>8290.49</v>
      </c>
    </row>
    <row r="59" spans="1:2" ht="16" outlineLevel="1">
      <c r="A59" s="31" t="s">
        <v>56</v>
      </c>
      <c r="B59" s="38">
        <f>B48+B49+B50+B51+B52+B53+B54+B55+B56+B57+B58</f>
        <v>269180.87999999995</v>
      </c>
    </row>
    <row r="60" spans="1:2" ht="16" outlineLevel="1">
      <c r="A60" s="29" t="s">
        <v>57</v>
      </c>
      <c r="B60" s="36">
        <v>2700.46</v>
      </c>
    </row>
    <row r="61" spans="1:2" ht="16" outlineLevel="1">
      <c r="A61" s="29" t="s">
        <v>58</v>
      </c>
      <c r="B61" s="36">
        <v>278511.0</v>
      </c>
    </row>
    <row r="62" spans="1:2" ht="16" outlineLevel="1">
      <c r="A62" s="29" t="s">
        <v>59</v>
      </c>
      <c r="B62" s="36">
        <v>2953.0</v>
      </c>
    </row>
    <row r="63" spans="1:2" ht="16" outlineLevel="1">
      <c r="A63" s="29" t="s">
        <v>60</v>
      </c>
      <c r="B63" s="36">
        <v>8146.02</v>
      </c>
    </row>
    <row r="64" spans="1:2" ht="16" outlineLevel="1">
      <c r="A64" s="29" t="s">
        <v>61</v>
      </c>
      <c r="B64" s="36">
        <v>37531.75</v>
      </c>
    </row>
    <row r="65" spans="1:2" ht="16" outlineLevel="2">
      <c r="A65" s="30" t="s">
        <v>62</v>
      </c>
      <c r="B65" s="36">
        <v>874.04</v>
      </c>
    </row>
    <row r="66" spans="1:2" ht="16" outlineLevel="2">
      <c r="A66" s="30" t="s">
        <v>63</v>
      </c>
      <c r="B66" s="36">
        <v>19.0</v>
      </c>
    </row>
    <row r="67" spans="1:2" ht="16" outlineLevel="2">
      <c r="A67" s="30" t="s">
        <v>64</v>
      </c>
      <c r="B67" s="36">
        <v>18996.41</v>
      </c>
    </row>
    <row r="68" spans="1:2" ht="16" outlineLevel="2">
      <c r="A68" s="30" t="s">
        <v>65</v>
      </c>
      <c r="B68" s="36">
        <v>450.0</v>
      </c>
    </row>
    <row r="69" spans="1:2" ht="16" outlineLevel="2">
      <c r="A69" s="30" t="s">
        <v>66</v>
      </c>
      <c r="B69" s="36">
        <v>113.23</v>
      </c>
    </row>
    <row r="70" spans="1:2" ht="16" outlineLevel="1">
      <c r="A70" s="31" t="s">
        <v>67</v>
      </c>
      <c r="B70" s="38">
        <f>B64+B65+B66+B67+B68+B69</f>
        <v>57984.43</v>
      </c>
    </row>
    <row r="71" spans="1:2" ht="16" outlineLevel="1">
      <c r="A71" s="29" t="s">
        <v>68</v>
      </c>
      <c r="B71" s="36">
        <v>752.15</v>
      </c>
    </row>
    <row r="72" spans="1:2" ht="16" outlineLevel="1">
      <c r="A72" s="29" t="s">
        <v>69</v>
      </c>
      <c r="B72" s="36">
        <v>12396.84</v>
      </c>
    </row>
    <row r="73" spans="1:2" ht="16" outlineLevel="2">
      <c r="A73" s="30" t="s">
        <v>70</v>
      </c>
      <c r="B73" s="36">
        <v>2852.29</v>
      </c>
    </row>
    <row r="74" spans="1:2" ht="16" outlineLevel="2">
      <c r="A74" s="30" t="s">
        <v>71</v>
      </c>
      <c r="B74" s="36">
        <v>4924.99</v>
      </c>
    </row>
    <row r="75" spans="1:2" ht="16" outlineLevel="2">
      <c r="A75" s="30" t="s">
        <v>72</v>
      </c>
      <c r="B75" s="36">
        <v>3513.4</v>
      </c>
    </row>
    <row r="76" spans="1:2" ht="16" outlineLevel="2">
      <c r="A76" s="30" t="s">
        <v>73</v>
      </c>
      <c r="B76" s="36">
        <v>-89.72</v>
      </c>
    </row>
    <row r="77" spans="1:2" ht="16" outlineLevel="2">
      <c r="A77" s="30" t="s">
        <v>74</v>
      </c>
      <c r="B77" s="36">
        <v>1182.13</v>
      </c>
    </row>
    <row r="78" spans="1:2" ht="16" outlineLevel="2">
      <c r="A78" s="30" t="s">
        <v>75</v>
      </c>
      <c r="B78" s="36">
        <v>10975.89</v>
      </c>
    </row>
    <row r="79" spans="1:2" ht="16" outlineLevel="2">
      <c r="A79" s="30" t="s">
        <v>76</v>
      </c>
      <c r="B79" s="36">
        <v>20575.77</v>
      </c>
    </row>
    <row r="80" spans="1:2" ht="16" outlineLevel="2">
      <c r="A80" s="30" t="s">
        <v>77</v>
      </c>
      <c r="B80" s="36">
        <v>5522.25</v>
      </c>
    </row>
    <row r="81" spans="1:2" ht="16" outlineLevel="2">
      <c r="A81" s="30" t="s">
        <v>78</v>
      </c>
      <c r="B81" s="36">
        <v>1836.25</v>
      </c>
    </row>
    <row r="82" spans="1:2" ht="16" outlineLevel="2">
      <c r="A82" s="30" t="s">
        <v>79</v>
      </c>
      <c r="B82" s="36">
        <v>50.0</v>
      </c>
    </row>
    <row r="83" spans="1:2" ht="16" outlineLevel="1">
      <c r="A83" s="31" t="s">
        <v>80</v>
      </c>
      <c r="B83" s="38">
        <f>B72+B73+B74+B75+B76+B77+B78+B79+B80+B81+B82</f>
        <v>63740.09000000001</v>
      </c>
    </row>
    <row r="84" spans="1:2" ht="16" outlineLevel="1">
      <c r="A84" s="29" t="s">
        <v>81</v>
      </c>
      <c r="B84" s="36">
        <v>294792.22</v>
      </c>
    </row>
    <row r="85" spans="1:2" ht="16" outlineLevel="2">
      <c r="A85" s="30" t="s">
        <v>82</v>
      </c>
      <c r="B85" s="36">
        <v>12237.07</v>
      </c>
    </row>
    <row r="86" spans="1:2" ht="16" outlineLevel="2">
      <c r="A86" s="30" t="s">
        <v>83</v>
      </c>
      <c r="B86" s="36">
        <v>1.66</v>
      </c>
    </row>
    <row r="87" spans="1:2" ht="16" outlineLevel="2">
      <c r="A87" s="30" t="s">
        <v>84</v>
      </c>
      <c r="B87" s="36">
        <v>109070.64</v>
      </c>
    </row>
    <row r="88" spans="1:2" ht="16" outlineLevel="2">
      <c r="A88" s="30" t="s">
        <v>85</v>
      </c>
      <c r="B88" s="36">
        <v>2049.68</v>
      </c>
    </row>
    <row r="89" spans="1:2" ht="16" outlineLevel="1">
      <c r="A89" s="31" t="s">
        <v>86</v>
      </c>
      <c r="B89" s="38">
        <f>B84+B85+B86+B87+B88</f>
        <v>418151.26999999996</v>
      </c>
    </row>
    <row r="90" spans="1:2" ht="16" outlineLevel="1">
      <c r="A90" s="29" t="s">
        <v>87</v>
      </c>
      <c r="B90" s="36">
        <v>16860.41</v>
      </c>
    </row>
    <row r="91" spans="1:2" ht="16" outlineLevel="1">
      <c r="A91" s="29" t="s">
        <v>88</v>
      </c>
      <c r="B91" s="36">
        <v>39627.63</v>
      </c>
    </row>
    <row r="92" spans="1:2" ht="16" outlineLevel="2">
      <c r="A92" s="30" t="s">
        <v>89</v>
      </c>
      <c r="B92" s="36">
        <v>1184.43</v>
      </c>
    </row>
    <row r="93" spans="1:2" ht="16" outlineLevel="2">
      <c r="A93" s="30" t="s">
        <v>90</v>
      </c>
      <c r="B93" s="36">
        <v>27.04</v>
      </c>
    </row>
    <row r="94" spans="1:2" ht="16" outlineLevel="2">
      <c r="A94" s="30" t="s">
        <v>91</v>
      </c>
      <c r="B94" s="36">
        <v>761.87</v>
      </c>
    </row>
    <row r="95" spans="1:2" ht="16" outlineLevel="2">
      <c r="A95" s="30" t="s">
        <v>92</v>
      </c>
      <c r="B95" s="36">
        <v>-5.89</v>
      </c>
    </row>
    <row r="96" spans="1:2" ht="16" outlineLevel="2">
      <c r="A96" s="30" t="s">
        <v>93</v>
      </c>
      <c r="B96" s="36">
        <v>101203.53</v>
      </c>
    </row>
    <row r="97" spans="1:2" ht="16" outlineLevel="1">
      <c r="A97" s="31" t="s">
        <v>94</v>
      </c>
      <c r="B97" s="38">
        <f>B91+B92+B93+B94+B95+B96</f>
        <v>142798.61</v>
      </c>
    </row>
    <row r="98" spans="1:2" ht="16" outlineLevel="1">
      <c r="A98" s="29" t="s">
        <v>95</v>
      </c>
      <c r="B98" s="36">
        <v>23947.6</v>
      </c>
    </row>
    <row r="99" spans="1:2" ht="16" outlineLevel="1">
      <c r="A99" s="29" t="s">
        <v>96</v>
      </c>
      <c r="B99" s="36">
        <v>9218.59</v>
      </c>
    </row>
    <row r="100" spans="1:2" ht="16" outlineLevel="1">
      <c r="A100" s="29" t="s">
        <v>97</v>
      </c>
      <c r="B100" s="36">
        <v>6133.72</v>
      </c>
    </row>
    <row r="101" spans="1:2" ht="16" outlineLevel="1">
      <c r="A101" s="29" t="s">
        <v>98</v>
      </c>
      <c r="B101" s="36">
        <v>26808.53</v>
      </c>
    </row>
    <row r="102" spans="1:2" ht="16" outlineLevel="1">
      <c r="A102" s="29" t="s">
        <v>99</v>
      </c>
      <c r="B102" s="36">
        <v>4188.8</v>
      </c>
    </row>
    <row r="103" spans="1:2" ht="16" outlineLevel="1">
      <c r="A103" s="29" t="s">
        <v>100</v>
      </c>
      <c r="B103" s="36">
        <v>24501.9</v>
      </c>
    </row>
    <row r="104" spans="1:2" ht="16" outlineLevel="1">
      <c r="A104" s="29" t="s">
        <v>101</v>
      </c>
      <c r="B104" s="36">
        <v>3767.23</v>
      </c>
    </row>
    <row r="105" spans="1:2" ht="16" outlineLevel="1">
      <c r="A105" s="29" t="s">
        <v>102</v>
      </c>
      <c r="B105" s="36">
        <v>2323.76</v>
      </c>
    </row>
    <row r="106" spans="1:2" ht="16" outlineLevel="1">
      <c r="A106" s="29" t="s">
        <v>103</v>
      </c>
      <c r="B106" s="36">
        <v>69.72</v>
      </c>
    </row>
    <row r="107" spans="1:2" ht="16" outlineLevel="1">
      <c r="A107" s="29" t="s">
        <v>104</v>
      </c>
      <c r="B107" s="36">
        <v>3114.31</v>
      </c>
    </row>
    <row r="108" spans="1:2" ht="16" outlineLevel="1">
      <c r="A108" s="29" t="s">
        <v>105</v>
      </c>
      <c r="B108" s="36">
        <v>14604.12</v>
      </c>
    </row>
    <row r="109" spans="1:2" ht="16" outlineLevel="1">
      <c r="A109" s="29" t="s">
        <v>106</v>
      </c>
      <c r="B109" s="36">
        <v>53333.21</v>
      </c>
    </row>
    <row r="110" spans="1:2" ht="16" outlineLevel="1">
      <c r="A110" s="29" t="s">
        <v>107</v>
      </c>
      <c r="B110" s="36">
        <v>658.47</v>
      </c>
    </row>
    <row r="111" spans="1:2" ht="16" outlineLevel="1">
      <c r="A111" s="29" t="s">
        <v>108</v>
      </c>
      <c r="B111" s="36">
        <v>21000.0</v>
      </c>
    </row>
    <row r="112" spans="1:2" ht="16" outlineLevel="1">
      <c r="A112" s="29" t="s">
        <v>109</v>
      </c>
      <c r="B112" s="36">
        <v>160.68</v>
      </c>
    </row>
    <row r="113" spans="1:2" ht="16" outlineLevel="1">
      <c r="A113" s="29" t="s">
        <v>110</v>
      </c>
      <c r="B113" s="36">
        <v>238.0</v>
      </c>
    </row>
    <row r="114" spans="1:2" ht="16" outlineLevel="1">
      <c r="A114" s="29" t="s">
        <v>111</v>
      </c>
      <c r="B114" s="36">
        <v>48107.0</v>
      </c>
    </row>
    <row r="115" spans="1:2" ht="16" outlineLevel="1">
      <c r="A115" s="29" t="s">
        <v>112</v>
      </c>
      <c r="B115" s="36">
        <v>-68152.73</v>
      </c>
    </row>
    <row r="116" spans="1:2" ht="16" outlineLevel="1">
      <c r="A116" s="29" t="s">
        <v>113</v>
      </c>
      <c r="B116" s="36">
        <v>81.92</v>
      </c>
    </row>
    <row r="117" spans="1:2" ht="16" outlineLevel="1">
      <c r="A117" s="29" t="s">
        <v>114</v>
      </c>
      <c r="B117" s="36">
        <v>636.99</v>
      </c>
    </row>
    <row r="118" spans="1:2" ht="16">
      <c r="A118" s="32" t="s">
        <v>115</v>
      </c>
      <c r="B118" s="38">
        <f>B47+B59+B60+B61+B62+B63+B70+B71+B83+B89+B90+B97+B98+B99+B100+B101+B102+B103+B104+B105+B106+B107+B108+B109+B110+B111+B112+B113+B114+B115+B116+B117</f>
        <v>1483902.1500000001</v>
      </c>
    </row>
    <row r="119" spans="1:2" ht="16">
      <c r="A119" s="32" t="s">
        <v>116</v>
      </c>
      <c r="B119" s="38">
        <v>479687.8099999989</v>
      </c>
    </row>
    <row r="123" spans="1:1" ht="16">
      <c r="A123" s="39" t="s">
        <v>119</v>
      </c>
    </row>
  </sheetData>
  <mergeCells count="4">
    <mergeCell ref="A1:B1"/>
    <mergeCell ref="A2:B2"/>
    <mergeCell ref="A3:B3"/>
    <mergeCell ref="A123:B12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